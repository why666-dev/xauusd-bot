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S1 Asian Breakout" sheetId="2" state="visible" r:id="rId2"/>
    <sheet name="S2 Goldmine" sheetId="3" state="visible" r:id="rId3"/>
    <sheet name="S3 Silver Bullet" sheetId="4" state="visible" r:id="rId4"/>
    <sheet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onsolas"/>
      <b val="1"/>
      <color rgb="00FFB800"/>
      <sz val="13"/>
    </font>
    <font>
      <name val="Consolas"/>
      <i val="1"/>
      <color rgb="005A7090"/>
      <sz val="8"/>
    </font>
    <font>
      <name val="Consolas"/>
      <b val="1"/>
      <color rgb="00FFB800"/>
      <sz val="9"/>
    </font>
    <font>
      <name val="Consolas"/>
      <b val="1"/>
      <color rgb="0000E676"/>
      <sz val="13"/>
    </font>
    <font>
      <name val="Consolas"/>
      <b val="1"/>
      <color rgb="0000E676"/>
      <sz val="9"/>
    </font>
    <font>
      <name val="Consolas"/>
      <b val="1"/>
      <color rgb="00B388FF"/>
      <sz val="13"/>
    </font>
    <font>
      <name val="Consolas"/>
      <b val="1"/>
      <color rgb="00B388FF"/>
      <sz val="9"/>
    </font>
    <font>
      <name val="Consolas"/>
      <b val="1"/>
      <color rgb="004D9EFF"/>
      <sz val="13"/>
    </font>
    <font>
      <name val="Consolas"/>
      <b val="1"/>
      <color rgb="004D9EFF"/>
      <sz val="9"/>
    </font>
    <font>
      <name val="Consolas"/>
      <b val="1"/>
      <color rgb="00E8F0FF"/>
      <sz val="9"/>
    </font>
    <font>
      <name val="Consolas"/>
      <color rgb="00E8F0FF"/>
      <sz val="9"/>
    </font>
    <font>
      <name val="Consolas"/>
      <b val="1"/>
      <color rgb="00FF3D5A"/>
      <sz val="9"/>
    </font>
  </fonts>
  <fills count="7">
    <fill>
      <patternFill/>
    </fill>
    <fill>
      <patternFill patternType="gray125"/>
    </fill>
    <fill>
      <patternFill patternType="solid">
        <fgColor rgb="00060B14"/>
      </patternFill>
    </fill>
    <fill>
      <patternFill patternType="solid">
        <fgColor rgb="0004080F"/>
      </patternFill>
    </fill>
    <fill>
      <patternFill patternType="solid">
        <fgColor rgb="000C1420"/>
      </patternFill>
    </fill>
    <fill>
      <patternFill patternType="solid">
        <fgColor rgb="001A0A0A"/>
      </patternFill>
    </fill>
    <fill>
      <patternFill patternType="solid">
        <fgColor rgb="000A1A0A"/>
      </patternFill>
    </fill>
  </fills>
  <borders count="2">
    <border>
      <left/>
      <right/>
      <top/>
      <bottom/>
      <diagonal/>
    </border>
    <border>
      <left style="thin">
        <color rgb="001E3048"/>
      </left>
      <right style="thin">
        <color rgb="001E3048"/>
      </right>
      <top style="thin">
        <color rgb="001E3048"/>
      </top>
      <bottom style="thin">
        <color rgb="001E304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Q1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0" customWidth="1" min="10" max="10"/>
    <col width="13" customWidth="1" min="11" max="11"/>
    <col width="12" customWidth="1" min="12" max="12"/>
    <col width="12" customWidth="1" min="13" max="13"/>
    <col width="14" customWidth="1" min="14" max="14"/>
    <col width="14" customWidth="1" min="15" max="15"/>
    <col width="8" customWidth="1" min="16" max="16"/>
    <col width="22" customWidth="1" min="17" max="17"/>
  </cols>
  <sheetData>
    <row r="1" ht="34" customHeight="1">
      <c r="A1" s="1" t="inlineStr">
        <is>
          <t>⚡  XAUUSD BOT — ALL TRADES</t>
        </is>
      </c>
    </row>
    <row r="2" ht="16" customHeight="1">
      <c r="A2" s="2" t="inlineStr">
        <is>
          <t>Asian Range Breakout | Goldmine | Silver Bullet | ATR SL | 1:2 R:R | Capital.com Demo</t>
        </is>
      </c>
    </row>
    <row r="3" ht="28" customHeight="1">
      <c r="A3" s="3" t="inlineStr">
        <is>
          <t>Date</t>
        </is>
      </c>
      <c r="B3" s="3" t="inlineStr">
        <is>
          <t>Time (IST)</t>
        </is>
      </c>
      <c r="C3" s="3" t="inlineStr">
        <is>
          <t>Strategy</t>
        </is>
      </c>
      <c r="D3" s="3" t="inlineStr">
        <is>
          <t>Direction</t>
        </is>
      </c>
      <c r="E3" s="3" t="inlineStr">
        <is>
          <t>Entry ($)</t>
        </is>
      </c>
      <c r="F3" s="3" t="inlineStr">
        <is>
          <t>SL ($)</t>
        </is>
      </c>
      <c r="G3" s="3" t="inlineStr">
        <is>
          <t>TP1 ($)</t>
        </is>
      </c>
      <c r="H3" s="3" t="inlineStr">
        <is>
          <t>TP2 ($)</t>
        </is>
      </c>
      <c r="I3" s="3" t="inlineStr">
        <is>
          <t>Size (oz)</t>
        </is>
      </c>
      <c r="J3" s="3" t="inlineStr">
        <is>
          <t>Exit ($)</t>
        </is>
      </c>
      <c r="K3" s="3" t="inlineStr">
        <is>
          <t>Gross P&amp;L ($)</t>
        </is>
      </c>
      <c r="L3" s="3" t="inlineStr">
        <is>
          <t>Commission ($)</t>
        </is>
      </c>
      <c r="M3" s="3" t="inlineStr">
        <is>
          <t>Net P&amp;L ($)</t>
        </is>
      </c>
      <c r="N3" s="3" t="inlineStr">
        <is>
          <t>Cumul. P&amp;L ($)</t>
        </is>
      </c>
      <c r="O3" s="3" t="inlineStr">
        <is>
          <t>Equity ($)</t>
        </is>
      </c>
      <c r="P3" s="3" t="inlineStr">
        <is>
          <t>Result</t>
        </is>
      </c>
      <c r="Q3" s="3" t="inlineStr">
        <is>
          <t>Notes</t>
        </is>
      </c>
    </row>
    <row r="4" ht="20" customHeight="1">
      <c r="A4" s="15" t="inlineStr">
        <is>
          <t>2026-03-24</t>
        </is>
      </c>
      <c r="B4" s="15" t="inlineStr">
        <is>
          <t>23:15:09</t>
        </is>
      </c>
      <c r="C4" s="16" t="inlineStr">
        <is>
          <t>S3 Silver Bullet</t>
        </is>
      </c>
      <c r="D4" s="17" t="inlineStr">
        <is>
          <t>BUY</t>
        </is>
      </c>
      <c r="E4" s="15" t="n">
        <v>4412.44</v>
      </c>
      <c r="F4" s="15" t="n">
        <v>4374.69</v>
      </c>
      <c r="G4" s="15" t="n">
        <v>4469.07</v>
      </c>
      <c r="H4" s="15" t="n">
        <v>4487.94</v>
      </c>
      <c r="I4" s="15" t="n">
        <v>10</v>
      </c>
      <c r="J4" s="15" t="n">
        <v>4377.86</v>
      </c>
      <c r="K4" s="18" t="n">
        <v>-34575</v>
      </c>
      <c r="L4" s="15" t="n">
        <v>0.05</v>
      </c>
      <c r="M4" s="18" t="n">
        <v>-34575.05</v>
      </c>
      <c r="N4" s="17" t="n">
        <v>0</v>
      </c>
      <c r="O4" s="15" t="n">
        <v>0</v>
      </c>
      <c r="P4" s="18" t="inlineStr">
        <is>
          <t>LOSS</t>
        </is>
      </c>
      <c r="Q4" s="19" t="inlineStr"/>
    </row>
    <row r="5" ht="20" customHeight="1">
      <c r="A5" s="20" t="inlineStr">
        <is>
          <t>2026-03-27</t>
        </is>
      </c>
      <c r="B5" s="20" t="inlineStr">
        <is>
          <t>01:25:01</t>
        </is>
      </c>
      <c r="C5" s="21" t="inlineStr">
        <is>
          <t>S1 Asian Breakout</t>
        </is>
      </c>
      <c r="D5" s="22" t="inlineStr">
        <is>
          <t>SELL</t>
        </is>
      </c>
      <c r="E5" s="20" t="n">
        <v>4378.58</v>
      </c>
      <c r="F5" s="20" t="n">
        <v>4406.16</v>
      </c>
      <c r="G5" s="20" t="n">
        <v>4337.2</v>
      </c>
      <c r="H5" s="20" t="n">
        <v>4323.41</v>
      </c>
      <c r="I5" s="20" t="n">
        <v>10</v>
      </c>
      <c r="J5" s="20" t="n">
        <v>4365.51</v>
      </c>
      <c r="K5" s="23" t="n">
        <v>13065</v>
      </c>
      <c r="L5" s="20" t="n">
        <v>0.05</v>
      </c>
      <c r="M5" s="23" t="n">
        <v>13064.95</v>
      </c>
      <c r="N5" s="23" t="n">
        <v>0</v>
      </c>
      <c r="O5" s="20" t="n">
        <v>0</v>
      </c>
      <c r="P5" s="23" t="inlineStr">
        <is>
          <t>WIN</t>
        </is>
      </c>
      <c r="Q5" s="24" t="inlineStr"/>
    </row>
    <row r="6" ht="20" customHeight="1">
      <c r="A6" s="15" t="inlineStr">
        <is>
          <t>2026-03-31</t>
        </is>
      </c>
      <c r="B6" s="15" t="inlineStr">
        <is>
          <t>20:26:19</t>
        </is>
      </c>
      <c r="C6" s="25" t="inlineStr">
        <is>
          <t>S1 Asian Breakout</t>
        </is>
      </c>
      <c r="D6" s="17" t="inlineStr">
        <is>
          <t>BUY</t>
        </is>
      </c>
      <c r="E6" s="15" t="n">
        <v>4623.66</v>
      </c>
      <c r="F6" s="15" t="n">
        <v>4595.2</v>
      </c>
      <c r="G6" s="15" t="n">
        <v>4666.34</v>
      </c>
      <c r="H6" s="15" t="n">
        <v>4680.57</v>
      </c>
      <c r="I6" s="15" t="n">
        <v>10</v>
      </c>
      <c r="J6" s="15" t="n">
        <v>4597.75</v>
      </c>
      <c r="K6" s="18" t="n">
        <v>-25905</v>
      </c>
      <c r="L6" s="15" t="n">
        <v>0.05</v>
      </c>
      <c r="M6" s="18" t="n">
        <v>-25905.05</v>
      </c>
      <c r="N6" s="17" t="n">
        <v>0</v>
      </c>
      <c r="O6" s="15" t="n">
        <v>0</v>
      </c>
      <c r="P6" s="18" t="inlineStr">
        <is>
          <t>LOSS</t>
        </is>
      </c>
      <c r="Q6" s="19" t="inlineStr"/>
    </row>
    <row r="7" ht="20" customHeight="1">
      <c r="A7" s="20" t="inlineStr">
        <is>
          <t>2026-04-01</t>
        </is>
      </c>
      <c r="B7" s="20" t="inlineStr">
        <is>
          <t>01:25:01</t>
        </is>
      </c>
      <c r="C7" s="21" t="inlineStr">
        <is>
          <t>S1 Asian Breakout</t>
        </is>
      </c>
      <c r="D7" s="23" t="inlineStr">
        <is>
          <t>BUY</t>
        </is>
      </c>
      <c r="E7" s="20" t="n">
        <v>4662.66</v>
      </c>
      <c r="F7" s="20" t="n">
        <v>4636.25</v>
      </c>
      <c r="G7" s="20" t="n">
        <v>4702.27</v>
      </c>
      <c r="H7" s="20" t="n">
        <v>4715.48</v>
      </c>
      <c r="I7" s="20" t="n">
        <v>10</v>
      </c>
      <c r="J7" s="20" t="n">
        <v>4683.66</v>
      </c>
      <c r="K7" s="23" t="n">
        <v>21000</v>
      </c>
      <c r="L7" s="20" t="n">
        <v>0.05</v>
      </c>
      <c r="M7" s="23" t="n">
        <v>20999.95</v>
      </c>
      <c r="N7" s="23" t="n">
        <v>0</v>
      </c>
      <c r="O7" s="20" t="n">
        <v>0</v>
      </c>
      <c r="P7" s="23" t="inlineStr">
        <is>
          <t>WIN</t>
        </is>
      </c>
      <c r="Q7" s="24" t="inlineStr"/>
    </row>
    <row r="8" ht="20" customHeight="1">
      <c r="A8" s="15" t="inlineStr">
        <is>
          <t>2026-04-02</t>
        </is>
      </c>
      <c r="B8" s="15" t="inlineStr">
        <is>
          <t>01:21:55</t>
        </is>
      </c>
      <c r="C8" s="25" t="inlineStr">
        <is>
          <t>S1 Asian Breakout</t>
        </is>
      </c>
      <c r="D8" s="17" t="inlineStr">
        <is>
          <t>BUY</t>
        </is>
      </c>
      <c r="E8" s="15" t="n">
        <v>4775.74</v>
      </c>
      <c r="F8" s="15" t="n">
        <v>4758.4</v>
      </c>
      <c r="G8" s="15" t="n">
        <v>4801.73</v>
      </c>
      <c r="H8" s="15" t="n">
        <v>4810.4</v>
      </c>
      <c r="I8" s="15" t="n">
        <v>10</v>
      </c>
      <c r="J8" s="15" t="n">
        <v>4763.55</v>
      </c>
      <c r="K8" s="18" t="n">
        <v>-12190</v>
      </c>
      <c r="L8" s="15" t="n">
        <v>0.05</v>
      </c>
      <c r="M8" s="18" t="n">
        <v>-12190.05</v>
      </c>
      <c r="N8" s="17" t="n">
        <v>0</v>
      </c>
      <c r="O8" s="15" t="n">
        <v>0</v>
      </c>
      <c r="P8" s="18" t="inlineStr">
        <is>
          <t>LOSS</t>
        </is>
      </c>
      <c r="Q8" s="19" t="inlineStr"/>
    </row>
    <row r="9" ht="20" customHeight="1">
      <c r="A9" s="20" t="inlineStr">
        <is>
          <t>2026-04-03</t>
        </is>
      </c>
      <c r="B9" s="20" t="inlineStr">
        <is>
          <t>01:25:02</t>
        </is>
      </c>
      <c r="C9" s="26" t="inlineStr">
        <is>
          <t>S3 Silver Bullet</t>
        </is>
      </c>
      <c r="D9" s="23" t="inlineStr">
        <is>
          <t>BUY</t>
        </is>
      </c>
      <c r="E9" s="20" t="n">
        <v>4672.69</v>
      </c>
      <c r="F9" s="20" t="n">
        <v>4633.89</v>
      </c>
      <c r="G9" s="20" t="n">
        <v>4730.9</v>
      </c>
      <c r="H9" s="20" t="n">
        <v>4750.3</v>
      </c>
      <c r="I9" s="20" t="n">
        <v>10</v>
      </c>
      <c r="J9" s="20" t="n">
        <v>4674.89</v>
      </c>
      <c r="K9" s="23" t="n">
        <v>2200</v>
      </c>
      <c r="L9" s="20" t="n">
        <v>0.05</v>
      </c>
      <c r="M9" s="23" t="n">
        <v>2199.95</v>
      </c>
      <c r="N9" s="23" t="n">
        <v>0</v>
      </c>
      <c r="O9" s="20" t="n">
        <v>0</v>
      </c>
      <c r="P9" s="23" t="inlineStr">
        <is>
          <t>WIN</t>
        </is>
      </c>
      <c r="Q9" s="24" t="inlineStr"/>
    </row>
    <row r="10" ht="20" customHeight="1">
      <c r="A10" s="15" t="inlineStr">
        <is>
          <t>2026-04-07</t>
        </is>
      </c>
      <c r="B10" s="15" t="inlineStr">
        <is>
          <t>19:53:50</t>
        </is>
      </c>
      <c r="C10" s="25" t="inlineStr">
        <is>
          <t>S1 Asian Breakout</t>
        </is>
      </c>
      <c r="D10" s="18" t="inlineStr">
        <is>
          <t>SELL</t>
        </is>
      </c>
      <c r="E10" s="15" t="n">
        <v>4608.14</v>
      </c>
      <c r="F10" s="15" t="n">
        <v>4635.05</v>
      </c>
      <c r="G10" s="15" t="n">
        <v>4567.78</v>
      </c>
      <c r="H10" s="15" t="n">
        <v>4554.32</v>
      </c>
      <c r="I10" s="15" t="n">
        <v>10</v>
      </c>
      <c r="J10" s="15" t="n">
        <v>4636.22</v>
      </c>
      <c r="K10" s="18" t="n">
        <v>-28080</v>
      </c>
      <c r="L10" s="15" t="n">
        <v>0.05</v>
      </c>
      <c r="M10" s="18" t="n">
        <v>-28080.05</v>
      </c>
      <c r="N10" s="17" t="n">
        <v>0</v>
      </c>
      <c r="O10" s="15" t="n">
        <v>0</v>
      </c>
      <c r="P10" s="18" t="inlineStr">
        <is>
          <t>LOSS</t>
        </is>
      </c>
      <c r="Q10" s="19" t="inlineStr"/>
    </row>
    <row r="11" ht="20" customHeight="1">
      <c r="A11" s="15" t="inlineStr">
        <is>
          <t>2026-04-08</t>
        </is>
      </c>
      <c r="B11" s="15" t="inlineStr">
        <is>
          <t>00:26:41</t>
        </is>
      </c>
      <c r="C11" s="25" t="inlineStr">
        <is>
          <t>S1 Asian Breakout</t>
        </is>
      </c>
      <c r="D11" s="17" t="inlineStr">
        <is>
          <t>BUY</t>
        </is>
      </c>
      <c r="E11" s="15" t="n">
        <v>4681.89</v>
      </c>
      <c r="F11" s="15" t="n">
        <v>4659.88</v>
      </c>
      <c r="G11" s="15" t="n">
        <v>4714.91</v>
      </c>
      <c r="H11" s="15" t="n">
        <v>4725.91</v>
      </c>
      <c r="I11" s="15" t="n">
        <v>10</v>
      </c>
      <c r="J11" s="15" t="n">
        <v>4660.23</v>
      </c>
      <c r="K11" s="18" t="n">
        <v>-21665</v>
      </c>
      <c r="L11" s="15" t="n">
        <v>0.05</v>
      </c>
      <c r="M11" s="18" t="n">
        <v>-21665.05</v>
      </c>
      <c r="N11" s="17" t="n">
        <v>0</v>
      </c>
      <c r="O11" s="15" t="n">
        <v>0</v>
      </c>
      <c r="P11" s="18" t="inlineStr">
        <is>
          <t>LOSS</t>
        </is>
      </c>
      <c r="Q11" s="19" t="inlineStr"/>
    </row>
    <row r="12" ht="20" customHeight="1">
      <c r="A12" s="20" t="inlineStr">
        <is>
          <t>2026-04-09</t>
        </is>
      </c>
      <c r="B12" s="20" t="inlineStr">
        <is>
          <t>19:09:16</t>
        </is>
      </c>
      <c r="C12" s="21" t="inlineStr">
        <is>
          <t>S1 Asian Breakout</t>
        </is>
      </c>
      <c r="D12" s="23" t="inlineStr">
        <is>
          <t>BUY</t>
        </is>
      </c>
      <c r="E12" s="20" t="n">
        <v>4744.74</v>
      </c>
      <c r="F12" s="20" t="n">
        <v>4731.52</v>
      </c>
      <c r="G12" s="20" t="n">
        <v>4764.57</v>
      </c>
      <c r="H12" s="20" t="n">
        <v>4771.17</v>
      </c>
      <c r="I12" s="20" t="n">
        <v>10</v>
      </c>
      <c r="J12" s="20" t="n">
        <v>4770.15</v>
      </c>
      <c r="K12" s="23" t="n">
        <v>25405</v>
      </c>
      <c r="L12" s="20" t="n">
        <v>0.05</v>
      </c>
      <c r="M12" s="23" t="n">
        <v>25404.95</v>
      </c>
      <c r="N12" s="23" t="n">
        <v>0</v>
      </c>
      <c r="O12" s="20" t="n">
        <v>0</v>
      </c>
      <c r="P12" s="23" t="inlineStr">
        <is>
          <t>WIN</t>
        </is>
      </c>
      <c r="Q12" s="24" t="inlineStr"/>
    </row>
    <row r="13" ht="20" customHeight="1">
      <c r="A13" s="20" t="inlineStr">
        <is>
          <t>2026-04-09</t>
        </is>
      </c>
      <c r="B13" s="20" t="inlineStr">
        <is>
          <t>21:05:18</t>
        </is>
      </c>
      <c r="C13" s="23" t="inlineStr">
        <is>
          <t>S2 Goldmine</t>
        </is>
      </c>
      <c r="D13" s="23" t="inlineStr">
        <is>
          <t>BUY</t>
        </is>
      </c>
      <c r="E13" s="20" t="n">
        <v>4752.51</v>
      </c>
      <c r="F13" s="20" t="n">
        <v>4732.22</v>
      </c>
      <c r="G13" s="20" t="n">
        <v>4782.94</v>
      </c>
      <c r="H13" s="20" t="n">
        <v>4793.09</v>
      </c>
      <c r="I13" s="20" t="n">
        <v>10</v>
      </c>
      <c r="J13" s="20" t="n">
        <v>4792.68</v>
      </c>
      <c r="K13" s="23" t="n">
        <v>40170</v>
      </c>
      <c r="L13" s="20" t="n">
        <v>0.05</v>
      </c>
      <c r="M13" s="23" t="n">
        <v>40169.95</v>
      </c>
      <c r="N13" s="23" t="n">
        <v>0</v>
      </c>
      <c r="O13" s="20" t="n">
        <v>0</v>
      </c>
      <c r="P13" s="23" t="inlineStr">
        <is>
          <t>WIN</t>
        </is>
      </c>
      <c r="Q13" s="24" t="inlineStr"/>
    </row>
    <row r="14" ht="20" customHeight="1">
      <c r="A14" s="15" t="inlineStr">
        <is>
          <t>2026-04-14</t>
        </is>
      </c>
      <c r="B14" s="15" t="inlineStr">
        <is>
          <t>17:53:31</t>
        </is>
      </c>
      <c r="C14" s="25" t="inlineStr">
        <is>
          <t>S1 Asian Breakout</t>
        </is>
      </c>
      <c r="D14" s="17" t="inlineStr">
        <is>
          <t>BUY</t>
        </is>
      </c>
      <c r="E14" s="15" t="n">
        <v>4777.57</v>
      </c>
      <c r="F14" s="15" t="n">
        <v>4763.22</v>
      </c>
      <c r="G14" s="15" t="n">
        <v>4799.1</v>
      </c>
      <c r="H14" s="15" t="n">
        <v>4806.28</v>
      </c>
      <c r="I14" s="15" t="n">
        <v>10</v>
      </c>
      <c r="J14" s="15" t="n">
        <v>4764.67</v>
      </c>
      <c r="K14" s="18" t="n">
        <v>-12905</v>
      </c>
      <c r="L14" s="15" t="n">
        <v>0.05</v>
      </c>
      <c r="M14" s="18" t="n">
        <v>-12905.05</v>
      </c>
      <c r="N14" s="17" t="n">
        <v>0</v>
      </c>
      <c r="O14" s="15" t="n">
        <v>0</v>
      </c>
      <c r="P14" s="18" t="inlineStr">
        <is>
          <t>LOSS</t>
        </is>
      </c>
      <c r="Q14" s="19" t="inlineStr"/>
    </row>
    <row r="15" ht="20" customHeight="1">
      <c r="A15" s="15" t="inlineStr">
        <is>
          <t>2026-04-15</t>
        </is>
      </c>
      <c r="B15" s="15" t="inlineStr">
        <is>
          <t>05:43:18</t>
        </is>
      </c>
      <c r="C15" s="25" t="inlineStr">
        <is>
          <t>S1 Asian Breakout</t>
        </is>
      </c>
      <c r="D15" s="17" t="inlineStr">
        <is>
          <t>BUY</t>
        </is>
      </c>
      <c r="E15" s="15" t="n">
        <v>4845.25</v>
      </c>
      <c r="F15" s="15" t="n">
        <v>4832.68</v>
      </c>
      <c r="G15" s="15" t="n">
        <v>4864.1</v>
      </c>
      <c r="H15" s="15" t="n">
        <v>4870.38</v>
      </c>
      <c r="I15" s="15" t="n">
        <v>10</v>
      </c>
      <c r="J15" s="15" t="n">
        <v>4832.54</v>
      </c>
      <c r="K15" s="18" t="n">
        <v>-12710</v>
      </c>
      <c r="L15" s="15" t="n">
        <v>0.05</v>
      </c>
      <c r="M15" s="18" t="n">
        <v>-12710.05</v>
      </c>
      <c r="N15" s="17" t="n">
        <v>0</v>
      </c>
      <c r="O15" s="15" t="n">
        <v>0</v>
      </c>
      <c r="P15" s="18" t="inlineStr">
        <is>
          <t>LOSS</t>
        </is>
      </c>
      <c r="Q15" s="19" t="inlineStr"/>
    </row>
    <row r="16" ht="20" customHeight="1">
      <c r="A16" s="20" t="inlineStr">
        <is>
          <t>2026-04-15</t>
        </is>
      </c>
      <c r="B16" s="20" t="inlineStr">
        <is>
          <t>21:00:18</t>
        </is>
      </c>
      <c r="C16" s="21" t="inlineStr">
        <is>
          <t>S1 Asian Breakout</t>
        </is>
      </c>
      <c r="D16" s="22" t="inlineStr">
        <is>
          <t>SELL</t>
        </is>
      </c>
      <c r="E16" s="20" t="n">
        <v>4819.79</v>
      </c>
      <c r="F16" s="20" t="n">
        <v>4831.37</v>
      </c>
      <c r="G16" s="20" t="n">
        <v>4802.42</v>
      </c>
      <c r="H16" s="20" t="n">
        <v>4796.63</v>
      </c>
      <c r="I16" s="20" t="n">
        <v>10</v>
      </c>
      <c r="J16" s="20" t="n">
        <v>4795.79</v>
      </c>
      <c r="K16" s="23" t="n">
        <v>24000</v>
      </c>
      <c r="L16" s="20" t="n">
        <v>0.05</v>
      </c>
      <c r="M16" s="23" t="n">
        <v>23999.95</v>
      </c>
      <c r="N16" s="23" t="n">
        <v>0</v>
      </c>
      <c r="O16" s="20" t="n">
        <v>0</v>
      </c>
      <c r="P16" s="23" t="inlineStr">
        <is>
          <t>WIN</t>
        </is>
      </c>
      <c r="Q16" s="24" t="inlineStr"/>
    </row>
    <row r="17" ht="20" customHeight="1">
      <c r="A17" s="15" t="inlineStr">
        <is>
          <t>2026-04-16</t>
        </is>
      </c>
      <c r="B17" s="15" t="inlineStr">
        <is>
          <t>21:42:16</t>
        </is>
      </c>
      <c r="C17" s="25" t="inlineStr">
        <is>
          <t>S1 Asian Breakout</t>
        </is>
      </c>
      <c r="D17" s="18" t="inlineStr">
        <is>
          <t>SELL</t>
        </is>
      </c>
      <c r="E17" s="15" t="n">
        <v>4787.83</v>
      </c>
      <c r="F17" s="15" t="n">
        <v>4804.19</v>
      </c>
      <c r="G17" s="15" t="n">
        <v>4763.28</v>
      </c>
      <c r="H17" s="15" t="n">
        <v>4755.1</v>
      </c>
      <c r="I17" s="15" t="n">
        <v>10</v>
      </c>
      <c r="J17" s="15" t="n">
        <v>4806.45</v>
      </c>
      <c r="K17" s="18" t="n">
        <v>-18625</v>
      </c>
      <c r="L17" s="15" t="n">
        <v>0.05</v>
      </c>
      <c r="M17" s="18" t="n">
        <v>-18625.05</v>
      </c>
      <c r="N17" s="17" t="n">
        <v>0</v>
      </c>
      <c r="O17" s="15" t="n">
        <v>0</v>
      </c>
      <c r="P17" s="18" t="inlineStr">
        <is>
          <t>LOSS</t>
        </is>
      </c>
      <c r="Q17" s="19" t="inlineStr"/>
    </row>
    <row r="18" ht="20" customHeight="1">
      <c r="A18" s="20" t="inlineStr">
        <is>
          <t>2026-04-22</t>
        </is>
      </c>
      <c r="B18" s="20" t="inlineStr">
        <is>
          <t>01:25:01</t>
        </is>
      </c>
      <c r="C18" s="21" t="inlineStr">
        <is>
          <t>S1 Asian Breakout</t>
        </is>
      </c>
      <c r="D18" s="22" t="inlineStr">
        <is>
          <t>SELL</t>
        </is>
      </c>
      <c r="E18" s="20" t="n">
        <v>4709.86</v>
      </c>
      <c r="F18" s="20" t="n">
        <v>4732.6</v>
      </c>
      <c r="G18" s="20" t="n">
        <v>4675.76</v>
      </c>
      <c r="H18" s="20" t="n">
        <v>4664.4</v>
      </c>
      <c r="I18" s="20" t="n">
        <v>10</v>
      </c>
      <c r="J18" s="20" t="n">
        <v>4680.63</v>
      </c>
      <c r="K18" s="23" t="n">
        <v>29235</v>
      </c>
      <c r="L18" s="20" t="n">
        <v>0.05</v>
      </c>
      <c r="M18" s="23" t="n">
        <v>29234.95</v>
      </c>
      <c r="N18" s="23" t="n">
        <v>0</v>
      </c>
      <c r="O18" s="20" t="n">
        <v>0</v>
      </c>
      <c r="P18" s="23" t="inlineStr">
        <is>
          <t>WIN</t>
        </is>
      </c>
      <c r="Q18" s="24" t="inlineStr"/>
    </row>
    <row r="19" ht="20" customHeight="1">
      <c r="A19" s="15" t="inlineStr">
        <is>
          <t>2026-04-22</t>
        </is>
      </c>
      <c r="B19" s="15" t="inlineStr">
        <is>
          <t>15:25:59</t>
        </is>
      </c>
      <c r="C19" s="25" t="inlineStr">
        <is>
          <t>S1 Asian Breakout</t>
        </is>
      </c>
      <c r="D19" s="17" t="inlineStr">
        <is>
          <t>BUY</t>
        </is>
      </c>
      <c r="E19" s="15" t="n">
        <v>4760.87</v>
      </c>
      <c r="F19" s="15" t="n">
        <v>4752.36</v>
      </c>
      <c r="G19" s="15" t="n">
        <v>4773.63</v>
      </c>
      <c r="H19" s="15" t="n">
        <v>4777.89</v>
      </c>
      <c r="I19" s="15" t="n">
        <v>10</v>
      </c>
      <c r="J19" s="15" t="n">
        <v>4753.11</v>
      </c>
      <c r="K19" s="18" t="n">
        <v>-7760</v>
      </c>
      <c r="L19" s="15" t="n">
        <v>0.05</v>
      </c>
      <c r="M19" s="18" t="n">
        <v>-7760.05</v>
      </c>
      <c r="N19" s="17" t="n">
        <v>0</v>
      </c>
      <c r="O19" s="15" t="n">
        <v>0</v>
      </c>
      <c r="P19" s="18" t="inlineStr">
        <is>
          <t>LOSS</t>
        </is>
      </c>
      <c r="Q19" s="19" t="inlineStr"/>
    </row>
    <row r="20" ht="20" customHeight="1">
      <c r="A20" s="15" t="inlineStr">
        <is>
          <t>2026-04-23</t>
        </is>
      </c>
      <c r="B20" s="15" t="inlineStr">
        <is>
          <t>17:12:45</t>
        </is>
      </c>
      <c r="C20" s="25" t="inlineStr">
        <is>
          <t>S1 Asian Breakout</t>
        </is>
      </c>
      <c r="D20" s="18" t="inlineStr">
        <is>
          <t>SELL</t>
        </is>
      </c>
      <c r="E20" s="15" t="n">
        <v>4691.82</v>
      </c>
      <c r="F20" s="15" t="n">
        <v>4704.43</v>
      </c>
      <c r="G20" s="15" t="n">
        <v>4672.9</v>
      </c>
      <c r="H20" s="15" t="n">
        <v>4666.59</v>
      </c>
      <c r="I20" s="15" t="n">
        <v>10</v>
      </c>
      <c r="J20" s="15" t="n">
        <v>4704.98</v>
      </c>
      <c r="K20" s="18" t="n">
        <v>-13160</v>
      </c>
      <c r="L20" s="15" t="n">
        <v>0.05</v>
      </c>
      <c r="M20" s="18" t="n">
        <v>-13160.05</v>
      </c>
      <c r="N20" s="17" t="n">
        <v>0</v>
      </c>
      <c r="O20" s="15" t="n">
        <v>0</v>
      </c>
      <c r="P20" s="18" t="inlineStr">
        <is>
          <t>LOSS</t>
        </is>
      </c>
      <c r="Q20" s="19" t="inlineStr"/>
    </row>
    <row r="21" ht="20" customHeight="1">
      <c r="A21" s="15" t="inlineStr">
        <is>
          <t>2026-04-23</t>
        </is>
      </c>
      <c r="B21" s="15" t="inlineStr">
        <is>
          <t>23:24:33</t>
        </is>
      </c>
      <c r="C21" s="25" t="inlineStr">
        <is>
          <t>S1 Asian Breakout</t>
        </is>
      </c>
      <c r="D21" s="18" t="inlineStr">
        <is>
          <t>SELL</t>
        </is>
      </c>
      <c r="E21" s="15" t="n">
        <v>4691.24</v>
      </c>
      <c r="F21" s="15" t="n">
        <v>4708.92</v>
      </c>
      <c r="G21" s="15" t="n">
        <v>4664.71</v>
      </c>
      <c r="H21" s="15" t="n">
        <v>4655.87</v>
      </c>
      <c r="I21" s="15" t="n">
        <v>10</v>
      </c>
      <c r="J21" s="15" t="n">
        <v>4695.16</v>
      </c>
      <c r="K21" s="18" t="n">
        <v>-3925</v>
      </c>
      <c r="L21" s="15" t="n">
        <v>0.05</v>
      </c>
      <c r="M21" s="18" t="n">
        <v>-3925.05</v>
      </c>
      <c r="N21" s="17" t="n">
        <v>0</v>
      </c>
      <c r="O21" s="15" t="n">
        <v>0</v>
      </c>
      <c r="P21" s="18" t="inlineStr">
        <is>
          <t>LOSS</t>
        </is>
      </c>
      <c r="Q21" s="19" t="inlineStr"/>
    </row>
    <row r="22" ht="20" customHeight="1">
      <c r="A22" s="15" t="inlineStr">
        <is>
          <t>2026-04-29</t>
        </is>
      </c>
      <c r="B22" s="15" t="inlineStr">
        <is>
          <t>01:25:01</t>
        </is>
      </c>
      <c r="C22" s="16" t="inlineStr">
        <is>
          <t>S3 Silver Bullet</t>
        </is>
      </c>
      <c r="D22" s="17" t="inlineStr">
        <is>
          <t>BUY</t>
        </is>
      </c>
      <c r="E22" s="15" t="n">
        <v>4597.12</v>
      </c>
      <c r="F22" s="15" t="n">
        <v>4586.78</v>
      </c>
      <c r="G22" s="15" t="n">
        <v>4612.64</v>
      </c>
      <c r="H22" s="15" t="n">
        <v>4617.81</v>
      </c>
      <c r="I22" s="15" t="n">
        <v>10</v>
      </c>
      <c r="J22" s="15" t="n">
        <v>4595.28</v>
      </c>
      <c r="K22" s="18" t="n">
        <v>-1845</v>
      </c>
      <c r="L22" s="15" t="n">
        <v>0.05</v>
      </c>
      <c r="M22" s="18" t="n">
        <v>-1845.05</v>
      </c>
      <c r="N22" s="17" t="n">
        <v>0</v>
      </c>
      <c r="O22" s="15" t="n">
        <v>0</v>
      </c>
      <c r="P22" s="18" t="inlineStr">
        <is>
          <t>LOSS</t>
        </is>
      </c>
      <c r="Q22" s="19" t="inlineStr"/>
    </row>
    <row r="23" ht="20" customHeight="1">
      <c r="A23" s="15" t="inlineStr">
        <is>
          <t>2026-04-30</t>
        </is>
      </c>
      <c r="B23" s="15" t="inlineStr">
        <is>
          <t>01:25:01</t>
        </is>
      </c>
      <c r="C23" s="25" t="inlineStr">
        <is>
          <t>S1 Asian Breakout</t>
        </is>
      </c>
      <c r="D23" s="18" t="inlineStr">
        <is>
          <t>SELL</t>
        </is>
      </c>
      <c r="E23" s="15" t="n">
        <v>4535.05</v>
      </c>
      <c r="F23" s="15" t="n">
        <v>4552.12</v>
      </c>
      <c r="G23" s="15" t="n">
        <v>4509.44</v>
      </c>
      <c r="H23" s="15" t="n">
        <v>4500.91</v>
      </c>
      <c r="I23" s="15" t="n">
        <v>10</v>
      </c>
      <c r="J23" s="15" t="n">
        <v>4547.34</v>
      </c>
      <c r="K23" s="18" t="n">
        <v>-12290</v>
      </c>
      <c r="L23" s="15" t="n">
        <v>0.05</v>
      </c>
      <c r="M23" s="18" t="n">
        <v>-12290.05</v>
      </c>
      <c r="N23" s="17" t="n">
        <v>0</v>
      </c>
      <c r="O23" s="15" t="n">
        <v>0</v>
      </c>
      <c r="P23" s="18" t="inlineStr">
        <is>
          <t>LOSS</t>
        </is>
      </c>
      <c r="Q23" s="19" t="inlineStr"/>
    </row>
    <row r="24" ht="20" customHeight="1">
      <c r="A24" s="20" t="inlineStr">
        <is>
          <t>2026-05-01</t>
        </is>
      </c>
      <c r="B24" s="20" t="inlineStr">
        <is>
          <t>01:25:02</t>
        </is>
      </c>
      <c r="C24" s="26" t="inlineStr">
        <is>
          <t>S3 Silver Bullet</t>
        </is>
      </c>
      <c r="D24" s="22" t="inlineStr">
        <is>
          <t>SELL</t>
        </is>
      </c>
      <c r="E24" s="20" t="n">
        <v>4620.15</v>
      </c>
      <c r="F24" s="20" t="n">
        <v>4636.4</v>
      </c>
      <c r="G24" s="20" t="n">
        <v>4595.76</v>
      </c>
      <c r="H24" s="20" t="n">
        <v>4587.63</v>
      </c>
      <c r="I24" s="20" t="n">
        <v>10</v>
      </c>
      <c r="J24" s="20" t="n">
        <v>4616.58</v>
      </c>
      <c r="K24" s="23" t="n">
        <v>3565</v>
      </c>
      <c r="L24" s="20" t="n">
        <v>0.05</v>
      </c>
      <c r="M24" s="23" t="n">
        <v>3564.95</v>
      </c>
      <c r="N24" s="23" t="n">
        <v>0</v>
      </c>
      <c r="O24" s="20" t="n">
        <v>0</v>
      </c>
      <c r="P24" s="23" t="inlineStr">
        <is>
          <t>WIN</t>
        </is>
      </c>
      <c r="Q24" s="24" t="inlineStr"/>
    </row>
    <row r="25" ht="20" customHeight="1">
      <c r="A25" s="20" t="inlineStr">
        <is>
          <t>2026-05-05</t>
        </is>
      </c>
      <c r="B25" s="20" t="inlineStr">
        <is>
          <t>17:54:35</t>
        </is>
      </c>
      <c r="C25" s="21" t="inlineStr">
        <is>
          <t>S1 Asian Breakout</t>
        </is>
      </c>
      <c r="D25" s="23" t="inlineStr">
        <is>
          <t>BUY</t>
        </is>
      </c>
      <c r="E25" s="20" t="n">
        <v>4548.04</v>
      </c>
      <c r="F25" s="20" t="n">
        <v>4537.21</v>
      </c>
      <c r="G25" s="20" t="n">
        <v>4564.29</v>
      </c>
      <c r="H25" s="20" t="n">
        <v>4569.71</v>
      </c>
      <c r="I25" s="20" t="n">
        <v>10</v>
      </c>
      <c r="J25" s="20" t="n">
        <v>4568.21</v>
      </c>
      <c r="K25" s="23" t="n">
        <v>20170</v>
      </c>
      <c r="L25" s="20" t="n">
        <v>0.05</v>
      </c>
      <c r="M25" s="23" t="n">
        <v>20169.95</v>
      </c>
      <c r="N25" s="23" t="n">
        <v>0</v>
      </c>
      <c r="O25" s="20" t="n">
        <v>0</v>
      </c>
      <c r="P25" s="23" t="inlineStr">
        <is>
          <t>WIN</t>
        </is>
      </c>
      <c r="Q25" s="24" t="inlineStr"/>
    </row>
    <row r="26" ht="20" customHeight="1">
      <c r="A26" s="15" t="inlineStr">
        <is>
          <t>2026-05-06</t>
        </is>
      </c>
      <c r="B26" s="15" t="inlineStr">
        <is>
          <t>01:25:01</t>
        </is>
      </c>
      <c r="C26" s="25" t="inlineStr">
        <is>
          <t>S1 Asian Breakout</t>
        </is>
      </c>
      <c r="D26" s="17" t="inlineStr">
        <is>
          <t>BUY</t>
        </is>
      </c>
      <c r="E26" s="15" t="n">
        <v>4561.39</v>
      </c>
      <c r="F26" s="15" t="n">
        <v>4551.24</v>
      </c>
      <c r="G26" s="15" t="n">
        <v>4576.62</v>
      </c>
      <c r="H26" s="15" t="n">
        <v>4581.7</v>
      </c>
      <c r="I26" s="15" t="n">
        <v>10</v>
      </c>
      <c r="J26" s="15" t="n">
        <v>4555.22</v>
      </c>
      <c r="K26" s="18" t="n">
        <v>-6170</v>
      </c>
      <c r="L26" s="15" t="n">
        <v>0.05</v>
      </c>
      <c r="M26" s="18" t="n">
        <v>-6170.05</v>
      </c>
      <c r="N26" s="17" t="n">
        <v>0</v>
      </c>
      <c r="O26" s="15" t="n">
        <v>0</v>
      </c>
      <c r="P26" s="18" t="inlineStr">
        <is>
          <t>LOSS</t>
        </is>
      </c>
      <c r="Q26" s="19" t="inlineStr"/>
    </row>
    <row r="27" ht="20" customHeight="1">
      <c r="A27" s="20" t="inlineStr">
        <is>
          <t>2026-05-07</t>
        </is>
      </c>
      <c r="B27" s="20" t="inlineStr">
        <is>
          <t>01:25:02</t>
        </is>
      </c>
      <c r="C27" s="21" t="inlineStr">
        <is>
          <t>S1 Asian Breakout</t>
        </is>
      </c>
      <c r="D27" s="23" t="inlineStr">
        <is>
          <t>BUY</t>
        </is>
      </c>
      <c r="E27" s="20" t="n">
        <v>4686.99</v>
      </c>
      <c r="F27" s="20" t="n">
        <v>4675.32</v>
      </c>
      <c r="G27" s="20" t="n">
        <v>4704.5</v>
      </c>
      <c r="H27" s="20" t="n">
        <v>4710.33</v>
      </c>
      <c r="I27" s="20" t="n">
        <v>10</v>
      </c>
      <c r="J27" s="20" t="n">
        <v>4697.67</v>
      </c>
      <c r="K27" s="23" t="n">
        <v>10675</v>
      </c>
      <c r="L27" s="20" t="n">
        <v>0.05</v>
      </c>
      <c r="M27" s="23" t="n">
        <v>10674.95</v>
      </c>
      <c r="N27" s="23" t="n">
        <v>0</v>
      </c>
      <c r="O27" s="20" t="n">
        <v>0</v>
      </c>
      <c r="P27" s="23" t="inlineStr">
        <is>
          <t>WIN</t>
        </is>
      </c>
      <c r="Q27" s="24" t="inlineStr"/>
    </row>
    <row r="28" ht="20" customHeight="1">
      <c r="A28" s="15" t="inlineStr">
        <is>
          <t>2026-05-13</t>
        </is>
      </c>
      <c r="B28" s="15" t="inlineStr">
        <is>
          <t>00:05:49</t>
        </is>
      </c>
      <c r="C28" s="25" t="inlineStr">
        <is>
          <t>S1 Asian Breakout</t>
        </is>
      </c>
      <c r="D28" s="18" t="inlineStr">
        <is>
          <t>SELL</t>
        </is>
      </c>
      <c r="E28" s="15" t="n">
        <v>4676.56</v>
      </c>
      <c r="F28" s="15" t="n">
        <v>4691.15</v>
      </c>
      <c r="G28" s="15" t="n">
        <v>4654.66</v>
      </c>
      <c r="H28" s="15" t="n">
        <v>4647.37</v>
      </c>
      <c r="I28" s="15" t="n">
        <v>10</v>
      </c>
      <c r="J28" s="15" t="n">
        <v>4689.89</v>
      </c>
      <c r="K28" s="18" t="n">
        <v>-13335</v>
      </c>
      <c r="L28" s="15" t="n">
        <v>0.05</v>
      </c>
      <c r="M28" s="18" t="n">
        <v>-13335.05</v>
      </c>
      <c r="N28" s="17" t="n">
        <v>0</v>
      </c>
      <c r="O28" s="15" t="n">
        <v>0</v>
      </c>
      <c r="P28" s="18" t="inlineStr">
        <is>
          <t>LOSS</t>
        </is>
      </c>
      <c r="Q28" s="19" t="inlineStr"/>
    </row>
    <row r="29" ht="20" customHeight="1">
      <c r="A29" s="15" t="inlineStr">
        <is>
          <t>2026-05-13</t>
        </is>
      </c>
      <c r="B29" s="15" t="inlineStr">
        <is>
          <t>20:02:13</t>
        </is>
      </c>
      <c r="C29" s="25" t="inlineStr">
        <is>
          <t>S1 Asian Breakout</t>
        </is>
      </c>
      <c r="D29" s="18" t="inlineStr">
        <is>
          <t>SELL</t>
        </is>
      </c>
      <c r="E29" s="15" t="n">
        <v>4675.02</v>
      </c>
      <c r="F29" s="15" t="n">
        <v>4687.3</v>
      </c>
      <c r="G29" s="15" t="n">
        <v>4656.6</v>
      </c>
      <c r="H29" s="15" t="n">
        <v>4650.45</v>
      </c>
      <c r="I29" s="15" t="n">
        <v>10</v>
      </c>
      <c r="J29" s="15" t="n">
        <v>4688.62</v>
      </c>
      <c r="K29" s="18" t="n">
        <v>-13600</v>
      </c>
      <c r="L29" s="15" t="n">
        <v>0.05</v>
      </c>
      <c r="M29" s="18" t="n">
        <v>-13600.05</v>
      </c>
      <c r="N29" s="17" t="n">
        <v>0</v>
      </c>
      <c r="O29" s="15" t="n">
        <v>0</v>
      </c>
      <c r="P29" s="18" t="inlineStr">
        <is>
          <t>LOSS</t>
        </is>
      </c>
      <c r="Q29" s="19" t="inlineStr"/>
    </row>
    <row r="30" ht="20" customHeight="1">
      <c r="A30" s="20" t="inlineStr">
        <is>
          <t>2026-05-14</t>
        </is>
      </c>
      <c r="B30" s="20" t="inlineStr">
        <is>
          <t>15:32:53</t>
        </is>
      </c>
      <c r="C30" s="26" t="inlineStr">
        <is>
          <t>S3 Silver Bullet</t>
        </is>
      </c>
      <c r="D30" s="23" t="inlineStr">
        <is>
          <t>BUY</t>
        </is>
      </c>
      <c r="E30" s="20" t="n">
        <v>4686.24</v>
      </c>
      <c r="F30" s="20" t="n">
        <v>4676.28</v>
      </c>
      <c r="G30" s="20" t="n">
        <v>4701.16</v>
      </c>
      <c r="H30" s="20" t="n">
        <v>4706.14</v>
      </c>
      <c r="I30" s="20" t="n">
        <v>10</v>
      </c>
      <c r="J30" s="20" t="n">
        <v>4699.49</v>
      </c>
      <c r="K30" s="23" t="n">
        <v>13255</v>
      </c>
      <c r="L30" s="20" t="n">
        <v>0.05</v>
      </c>
      <c r="M30" s="23" t="n">
        <v>13254.95</v>
      </c>
      <c r="N30" s="23" t="n">
        <v>0</v>
      </c>
      <c r="O30" s="20" t="n">
        <v>0</v>
      </c>
      <c r="P30" s="23" t="inlineStr">
        <is>
          <t>WIN</t>
        </is>
      </c>
      <c r="Q30" s="24" t="inlineStr"/>
    </row>
    <row r="31" ht="20" customHeight="1">
      <c r="A31" s="15" t="inlineStr">
        <is>
          <t>2026-05-14</t>
        </is>
      </c>
      <c r="B31" s="15" t="inlineStr">
        <is>
          <t>18:16:09</t>
        </is>
      </c>
      <c r="C31" s="25" t="inlineStr">
        <is>
          <t>S1 Asian Breakout</t>
        </is>
      </c>
      <c r="D31" s="17" t="inlineStr">
        <is>
          <t>BUY</t>
        </is>
      </c>
      <c r="E31" s="15" t="n">
        <v>4707.5</v>
      </c>
      <c r="F31" s="15" t="n">
        <v>4695.97</v>
      </c>
      <c r="G31" s="15" t="n">
        <v>4724.79</v>
      </c>
      <c r="H31" s="15" t="n">
        <v>4730.55</v>
      </c>
      <c r="I31" s="15" t="n">
        <v>10</v>
      </c>
      <c r="J31" s="15" t="n">
        <v>4697.93</v>
      </c>
      <c r="K31" s="18" t="n">
        <v>-9570</v>
      </c>
      <c r="L31" s="15" t="n">
        <v>0.05</v>
      </c>
      <c r="M31" s="18" t="n">
        <v>-9570.049999999999</v>
      </c>
      <c r="N31" s="17" t="n">
        <v>0</v>
      </c>
      <c r="O31" s="15" t="n">
        <v>0</v>
      </c>
      <c r="P31" s="18" t="inlineStr">
        <is>
          <t>LOSS</t>
        </is>
      </c>
      <c r="Q31" s="19" t="inlineStr"/>
    </row>
    <row r="32" ht="20" customHeight="1">
      <c r="A32" s="20" t="inlineStr">
        <is>
          <t>2026-05-15</t>
        </is>
      </c>
      <c r="B32" s="20" t="inlineStr">
        <is>
          <t>01:25:01</t>
        </is>
      </c>
      <c r="C32" s="21" t="inlineStr">
        <is>
          <t>S1 Asian Breakout</t>
        </is>
      </c>
      <c r="D32" s="22" t="inlineStr">
        <is>
          <t>SELL</t>
        </is>
      </c>
      <c r="E32" s="20" t="n">
        <v>4673.24</v>
      </c>
      <c r="F32" s="20" t="n">
        <v>4683.83</v>
      </c>
      <c r="G32" s="20" t="n">
        <v>4657.36</v>
      </c>
      <c r="H32" s="20" t="n">
        <v>4652.07</v>
      </c>
      <c r="I32" s="20" t="n">
        <v>10</v>
      </c>
      <c r="J32" s="20" t="n">
        <v>4657.65</v>
      </c>
      <c r="K32" s="23" t="n">
        <v>15590</v>
      </c>
      <c r="L32" s="20" t="n">
        <v>0.05</v>
      </c>
      <c r="M32" s="23" t="n">
        <v>15589.95</v>
      </c>
      <c r="N32" s="23" t="n">
        <v>0</v>
      </c>
      <c r="O32" s="20" t="n">
        <v>0</v>
      </c>
      <c r="P32" s="23" t="inlineStr">
        <is>
          <t>WIN</t>
        </is>
      </c>
      <c r="Q32" s="24" t="inlineStr"/>
    </row>
    <row r="33" ht="20" customHeight="1">
      <c r="A33" s="15" t="inlineStr">
        <is>
          <t>2026-05-19</t>
        </is>
      </c>
      <c r="B33" s="15" t="inlineStr">
        <is>
          <t>17:42:25</t>
        </is>
      </c>
      <c r="C33" s="25" t="inlineStr">
        <is>
          <t>S1 Asian Breakout</t>
        </is>
      </c>
      <c r="D33" s="18" t="inlineStr">
        <is>
          <t>SELL</t>
        </is>
      </c>
      <c r="E33" s="15" t="n">
        <v>4533.06</v>
      </c>
      <c r="F33" s="15" t="n">
        <v>4546.58</v>
      </c>
      <c r="G33" s="15" t="n">
        <v>4512.78</v>
      </c>
      <c r="H33" s="15" t="n">
        <v>4506.02</v>
      </c>
      <c r="I33" s="15" t="n">
        <v>10</v>
      </c>
      <c r="J33" s="15" t="n">
        <v>4545.41</v>
      </c>
      <c r="K33" s="18" t="n">
        <v>-12350</v>
      </c>
      <c r="L33" s="15" t="n">
        <v>0.05</v>
      </c>
      <c r="M33" s="18" t="n">
        <v>-12350.05</v>
      </c>
      <c r="N33" s="17" t="n">
        <v>0</v>
      </c>
      <c r="O33" s="15" t="n">
        <v>0</v>
      </c>
      <c r="P33" s="18" t="inlineStr">
        <is>
          <t>LOSS</t>
        </is>
      </c>
      <c r="Q33" s="19" t="inlineStr"/>
    </row>
    <row r="34" ht="20" customHeight="1">
      <c r="A34" s="20" t="inlineStr">
        <is>
          <t>2026-05-20</t>
        </is>
      </c>
      <c r="B34" s="20" t="inlineStr">
        <is>
          <t>01:25:01</t>
        </is>
      </c>
      <c r="C34" s="21" t="inlineStr">
        <is>
          <t>S1 Asian Breakout</t>
        </is>
      </c>
      <c r="D34" s="22" t="inlineStr">
        <is>
          <t>SELL</t>
        </is>
      </c>
      <c r="E34" s="20" t="n">
        <v>4499.84</v>
      </c>
      <c r="F34" s="20" t="n">
        <v>4512.27</v>
      </c>
      <c r="G34" s="20" t="n">
        <v>4481.19</v>
      </c>
      <c r="H34" s="20" t="n">
        <v>4474.98</v>
      </c>
      <c r="I34" s="20" t="n">
        <v>10</v>
      </c>
      <c r="J34" s="20" t="n">
        <v>4483.34</v>
      </c>
      <c r="K34" s="23" t="n">
        <v>16500</v>
      </c>
      <c r="L34" s="20" t="n">
        <v>0.05</v>
      </c>
      <c r="M34" s="23" t="n">
        <v>16499.95</v>
      </c>
      <c r="N34" s="23" t="n">
        <v>0</v>
      </c>
      <c r="O34" s="20" t="n">
        <v>0</v>
      </c>
      <c r="P34" s="23" t="inlineStr">
        <is>
          <t>WIN</t>
        </is>
      </c>
      <c r="Q34" s="24" t="inlineStr"/>
    </row>
    <row r="35" ht="20" customHeight="1">
      <c r="A35" s="15" t="inlineStr">
        <is>
          <t>2026-05-20</t>
        </is>
      </c>
      <c r="B35" s="15" t="inlineStr">
        <is>
          <t>16:09:36</t>
        </is>
      </c>
      <c r="C35" s="25" t="inlineStr">
        <is>
          <t>S1 Asian Breakout</t>
        </is>
      </c>
      <c r="D35" s="18" t="inlineStr">
        <is>
          <t>SELL</t>
        </is>
      </c>
      <c r="E35" s="15" t="n">
        <v>4483.22</v>
      </c>
      <c r="F35" s="15" t="n">
        <v>4493.03</v>
      </c>
      <c r="G35" s="15" t="n">
        <v>4468.5</v>
      </c>
      <c r="H35" s="15" t="n">
        <v>4463.6</v>
      </c>
      <c r="I35" s="15" t="n">
        <v>10</v>
      </c>
      <c r="J35" s="15" t="n">
        <v>4495.93</v>
      </c>
      <c r="K35" s="18" t="n">
        <v>-12710</v>
      </c>
      <c r="L35" s="15" t="n">
        <v>0.05</v>
      </c>
      <c r="M35" s="18" t="n">
        <v>-12710.05</v>
      </c>
      <c r="N35" s="17" t="n">
        <v>0</v>
      </c>
      <c r="O35" s="15" t="n">
        <v>0</v>
      </c>
      <c r="P35" s="18" t="inlineStr">
        <is>
          <t>LOSS</t>
        </is>
      </c>
      <c r="Q35" s="19" t="inlineStr"/>
    </row>
    <row r="36" ht="20" customHeight="1">
      <c r="A36" s="20" t="inlineStr">
        <is>
          <t>2026-05-21</t>
        </is>
      </c>
      <c r="B36" s="20" t="inlineStr">
        <is>
          <t>01:25:02</t>
        </is>
      </c>
      <c r="C36" s="21" t="inlineStr">
        <is>
          <t>S1 Asian Breakout</t>
        </is>
      </c>
      <c r="D36" s="23" t="inlineStr">
        <is>
          <t>BUY</t>
        </is>
      </c>
      <c r="E36" s="20" t="n">
        <v>4535</v>
      </c>
      <c r="F36" s="20" t="n">
        <v>4521.29</v>
      </c>
      <c r="G36" s="20" t="n">
        <v>4555.56</v>
      </c>
      <c r="H36" s="20" t="n">
        <v>4562.42</v>
      </c>
      <c r="I36" s="20" t="n">
        <v>10</v>
      </c>
      <c r="J36" s="20" t="n">
        <v>4547.84</v>
      </c>
      <c r="K36" s="23" t="n">
        <v>12840</v>
      </c>
      <c r="L36" s="20" t="n">
        <v>0.05</v>
      </c>
      <c r="M36" s="23" t="n">
        <v>12839.95</v>
      </c>
      <c r="N36" s="23" t="n">
        <v>0</v>
      </c>
      <c r="O36" s="20" t="n">
        <v>0</v>
      </c>
      <c r="P36" s="23" t="inlineStr">
        <is>
          <t>WIN</t>
        </is>
      </c>
      <c r="Q36" s="24" t="inlineStr"/>
    </row>
    <row r="37" ht="20" customHeight="1">
      <c r="A37" s="15" t="inlineStr">
        <is>
          <t>2026-05-26</t>
        </is>
      </c>
      <c r="B37" s="15" t="inlineStr">
        <is>
          <t>23:56:02</t>
        </is>
      </c>
      <c r="C37" s="25" t="inlineStr">
        <is>
          <t>S1 Asian Breakout</t>
        </is>
      </c>
      <c r="D37" s="18" t="inlineStr">
        <is>
          <t>SELL</t>
        </is>
      </c>
      <c r="E37" s="15" t="n">
        <v>4484.45</v>
      </c>
      <c r="F37" s="15" t="n">
        <v>4495.07</v>
      </c>
      <c r="G37" s="15" t="n">
        <v>4468.52</v>
      </c>
      <c r="H37" s="15" t="n">
        <v>4463.22</v>
      </c>
      <c r="I37" s="15" t="n">
        <v>10</v>
      </c>
      <c r="J37" s="15" t="n">
        <v>4493.81</v>
      </c>
      <c r="K37" s="18" t="n">
        <v>-9360</v>
      </c>
      <c r="L37" s="15" t="n">
        <v>0.05</v>
      </c>
      <c r="M37" s="18" t="n">
        <v>-9360.049999999999</v>
      </c>
      <c r="N37" s="17" t="n">
        <v>0</v>
      </c>
      <c r="O37" s="15" t="n">
        <v>0</v>
      </c>
      <c r="P37" s="18" t="inlineStr">
        <is>
          <t>LOSS</t>
        </is>
      </c>
      <c r="Q37" s="19" t="inlineStr"/>
    </row>
    <row r="38" ht="20" customHeight="1">
      <c r="A38" s="15" t="inlineStr">
        <is>
          <t>2026-05-28</t>
        </is>
      </c>
      <c r="B38" s="15" t="inlineStr">
        <is>
          <t>01:25:01</t>
        </is>
      </c>
      <c r="C38" s="25" t="inlineStr">
        <is>
          <t>S1 Asian Breakout</t>
        </is>
      </c>
      <c r="D38" s="18" t="inlineStr">
        <is>
          <t>SELL</t>
        </is>
      </c>
      <c r="E38" s="15" t="n">
        <v>4449.01</v>
      </c>
      <c r="F38" s="15" t="n">
        <v>4460.11</v>
      </c>
      <c r="G38" s="15" t="n">
        <v>4432.35</v>
      </c>
      <c r="H38" s="15" t="n">
        <v>4426.8</v>
      </c>
      <c r="I38" s="15" t="n">
        <v>10</v>
      </c>
      <c r="J38" s="15" t="n">
        <v>4450.54</v>
      </c>
      <c r="K38" s="18" t="n">
        <v>-1535</v>
      </c>
      <c r="L38" s="15" t="n">
        <v>0.05</v>
      </c>
      <c r="M38" s="18" t="n">
        <v>-1535.05</v>
      </c>
      <c r="N38" s="17" t="n">
        <v>0</v>
      </c>
      <c r="O38" s="15" t="n">
        <v>0</v>
      </c>
      <c r="P38" s="18" t="inlineStr">
        <is>
          <t>LOSS</t>
        </is>
      </c>
      <c r="Q38" s="19" t="inlineStr"/>
    </row>
    <row r="39" ht="20" customHeight="1">
      <c r="A39" s="15" t="inlineStr">
        <is>
          <t>2026-05-28</t>
        </is>
      </c>
      <c r="B39" s="15" t="inlineStr">
        <is>
          <t>18:16:28</t>
        </is>
      </c>
      <c r="C39" s="25" t="inlineStr">
        <is>
          <t>S1 Asian Breakout</t>
        </is>
      </c>
      <c r="D39" s="18" t="inlineStr">
        <is>
          <t>SELL</t>
        </is>
      </c>
      <c r="E39" s="15" t="n">
        <v>4391.08</v>
      </c>
      <c r="F39" s="15" t="n">
        <v>4403.55</v>
      </c>
      <c r="G39" s="15" t="n">
        <v>4372.37</v>
      </c>
      <c r="H39" s="15" t="n">
        <v>4366.14</v>
      </c>
      <c r="I39" s="15" t="n">
        <v>10</v>
      </c>
      <c r="J39" s="15" t="n">
        <v>4405.2</v>
      </c>
      <c r="K39" s="18" t="n">
        <v>-14120</v>
      </c>
      <c r="L39" s="15" t="n">
        <v>0.05</v>
      </c>
      <c r="M39" s="18" t="n">
        <v>-14120.05</v>
      </c>
      <c r="N39" s="17" t="n">
        <v>0</v>
      </c>
      <c r="O39" s="15" t="n">
        <v>0</v>
      </c>
      <c r="P39" s="18" t="inlineStr">
        <is>
          <t>LOSS</t>
        </is>
      </c>
      <c r="Q39" s="19" t="inlineStr"/>
    </row>
    <row r="40" ht="20" customHeight="1">
      <c r="A40" s="15" t="inlineStr">
        <is>
          <t>2026-06-02</t>
        </is>
      </c>
      <c r="B40" s="15" t="inlineStr">
        <is>
          <t>23:06:43</t>
        </is>
      </c>
      <c r="C40" s="25" t="inlineStr">
        <is>
          <t>S1 Asian Breakout</t>
        </is>
      </c>
      <c r="D40" s="17" t="inlineStr">
        <is>
          <t>BUY</t>
        </is>
      </c>
      <c r="E40" s="15" t="n">
        <v>4498</v>
      </c>
      <c r="F40" s="15" t="n">
        <v>4485.45</v>
      </c>
      <c r="G40" s="15" t="n">
        <v>4516.82</v>
      </c>
      <c r="H40" s="15" t="n">
        <v>4523.09</v>
      </c>
      <c r="I40" s="15" t="n">
        <v>10</v>
      </c>
      <c r="J40" s="15" t="n">
        <v>4485.07</v>
      </c>
      <c r="K40" s="18" t="n">
        <v>-12930</v>
      </c>
      <c r="L40" s="15" t="n">
        <v>0.05</v>
      </c>
      <c r="M40" s="18" t="n">
        <v>-12930.05</v>
      </c>
      <c r="N40" s="17" t="n">
        <v>0</v>
      </c>
      <c r="O40" s="15" t="n">
        <v>0</v>
      </c>
      <c r="P40" s="18" t="inlineStr">
        <is>
          <t>LOSS</t>
        </is>
      </c>
      <c r="Q40" s="19" t="inlineStr"/>
    </row>
    <row r="41" ht="20" customHeight="1">
      <c r="A41" s="20" t="inlineStr">
        <is>
          <t>2026-06-03</t>
        </is>
      </c>
      <c r="B41" s="20" t="inlineStr">
        <is>
          <t>19:15:30</t>
        </is>
      </c>
      <c r="C41" s="21" t="inlineStr">
        <is>
          <t>S1 Asian Breakout</t>
        </is>
      </c>
      <c r="D41" s="22" t="inlineStr">
        <is>
          <t>SELL</t>
        </is>
      </c>
      <c r="E41" s="20" t="n">
        <v>4459.78</v>
      </c>
      <c r="F41" s="20" t="n">
        <v>4474.55</v>
      </c>
      <c r="G41" s="20" t="n">
        <v>4437.63</v>
      </c>
      <c r="H41" s="20" t="n">
        <v>4430.24</v>
      </c>
      <c r="I41" s="20" t="n">
        <v>10</v>
      </c>
      <c r="J41" s="20" t="n">
        <v>4431.3</v>
      </c>
      <c r="K41" s="23" t="n">
        <v>28480</v>
      </c>
      <c r="L41" s="20" t="n">
        <v>0.05</v>
      </c>
      <c r="M41" s="23" t="n">
        <v>28479.95</v>
      </c>
      <c r="N41" s="23" t="n">
        <v>0</v>
      </c>
      <c r="O41" s="20" t="n">
        <v>0</v>
      </c>
      <c r="P41" s="23" t="inlineStr">
        <is>
          <t>WIN</t>
        </is>
      </c>
      <c r="Q41" s="24" t="inlineStr"/>
    </row>
    <row r="42" ht="20" customHeight="1">
      <c r="A42" s="20" t="inlineStr">
        <is>
          <t>2026-06-04</t>
        </is>
      </c>
      <c r="B42" s="20" t="inlineStr">
        <is>
          <t>01:25:01</t>
        </is>
      </c>
      <c r="C42" s="23" t="inlineStr">
        <is>
          <t>S2 Goldmine</t>
        </is>
      </c>
      <c r="D42" s="22" t="inlineStr">
        <is>
          <t>SELL</t>
        </is>
      </c>
      <c r="E42" s="20" t="n">
        <v>4455.6</v>
      </c>
      <c r="F42" s="20" t="n">
        <v>4473.77</v>
      </c>
      <c r="G42" s="20" t="n">
        <v>4428.34</v>
      </c>
      <c r="H42" s="20" t="n">
        <v>4419.26</v>
      </c>
      <c r="I42" s="20" t="n">
        <v>10</v>
      </c>
      <c r="J42" s="20" t="n">
        <v>4445.14</v>
      </c>
      <c r="K42" s="23" t="n">
        <v>10460</v>
      </c>
      <c r="L42" s="20" t="n">
        <v>0.05</v>
      </c>
      <c r="M42" s="23" t="n">
        <v>10459.95</v>
      </c>
      <c r="N42" s="23" t="n">
        <v>0</v>
      </c>
      <c r="O42" s="20" t="n">
        <v>0</v>
      </c>
      <c r="P42" s="23" t="inlineStr">
        <is>
          <t>WIN</t>
        </is>
      </c>
      <c r="Q42" s="24" t="inlineStr"/>
    </row>
    <row r="43" ht="20" customHeight="1">
      <c r="A43" s="20" t="inlineStr">
        <is>
          <t>2026-06-04</t>
        </is>
      </c>
      <c r="B43" s="20" t="inlineStr">
        <is>
          <t>17:17:40</t>
        </is>
      </c>
      <c r="C43" s="21" t="inlineStr">
        <is>
          <t>S1 Asian Breakout</t>
        </is>
      </c>
      <c r="D43" s="23" t="inlineStr">
        <is>
          <t>BUY</t>
        </is>
      </c>
      <c r="E43" s="20" t="n">
        <v>4476.78</v>
      </c>
      <c r="F43" s="20" t="n">
        <v>4466.61</v>
      </c>
      <c r="G43" s="20" t="n">
        <v>4492.03</v>
      </c>
      <c r="H43" s="20" t="n">
        <v>4497.12</v>
      </c>
      <c r="I43" s="20" t="n">
        <v>10</v>
      </c>
      <c r="J43" s="20" t="n">
        <v>4500.62</v>
      </c>
      <c r="K43" s="23" t="n">
        <v>23845</v>
      </c>
      <c r="L43" s="20" t="n">
        <v>0.05</v>
      </c>
      <c r="M43" s="23" t="n">
        <v>23844.95</v>
      </c>
      <c r="N43" s="23" t="n">
        <v>0</v>
      </c>
      <c r="O43" s="20" t="n">
        <v>0</v>
      </c>
      <c r="P43" s="23" t="inlineStr">
        <is>
          <t>WIN</t>
        </is>
      </c>
      <c r="Q43" s="24" t="inlineStr"/>
    </row>
    <row r="44" ht="20" customHeight="1">
      <c r="A44" s="15" t="inlineStr">
        <is>
          <t>2026-06-04</t>
        </is>
      </c>
      <c r="B44" s="15" t="inlineStr">
        <is>
          <t>20:21:31</t>
        </is>
      </c>
      <c r="C44" s="17" t="inlineStr">
        <is>
          <t>S2 Goldmine</t>
        </is>
      </c>
      <c r="D44" s="17" t="inlineStr">
        <is>
          <t>BUY</t>
        </is>
      </c>
      <c r="E44" s="15" t="n">
        <v>4481.35</v>
      </c>
      <c r="F44" s="15" t="n">
        <v>4461.97</v>
      </c>
      <c r="G44" s="15" t="n">
        <v>4510.44</v>
      </c>
      <c r="H44" s="15" t="n">
        <v>4520.13</v>
      </c>
      <c r="I44" s="15" t="n">
        <v>10</v>
      </c>
      <c r="J44" s="15" t="n">
        <v>4464.7</v>
      </c>
      <c r="K44" s="18" t="n">
        <v>-16650</v>
      </c>
      <c r="L44" s="15" t="n">
        <v>0.05</v>
      </c>
      <c r="M44" s="18" t="n">
        <v>-16650.05</v>
      </c>
      <c r="N44" s="17" t="n">
        <v>0</v>
      </c>
      <c r="O44" s="15" t="n">
        <v>0</v>
      </c>
      <c r="P44" s="18" t="inlineStr">
        <is>
          <t>LOSS</t>
        </is>
      </c>
      <c r="Q44" s="19" t="inlineStr"/>
    </row>
    <row r="45" ht="20" customHeight="1">
      <c r="A45" s="15" t="inlineStr">
        <is>
          <t>2026-06-09</t>
        </is>
      </c>
      <c r="B45" s="15" t="inlineStr">
        <is>
          <t>19:24:43</t>
        </is>
      </c>
      <c r="C45" s="25" t="inlineStr">
        <is>
          <t>S1 Asian Breakout</t>
        </is>
      </c>
      <c r="D45" s="17" t="inlineStr">
        <is>
          <t>BUY</t>
        </is>
      </c>
      <c r="E45" s="15" t="n">
        <v>4346.11</v>
      </c>
      <c r="F45" s="15" t="n">
        <v>4334.47</v>
      </c>
      <c r="G45" s="15" t="n">
        <v>4363.58</v>
      </c>
      <c r="H45" s="15" t="n">
        <v>4369.4</v>
      </c>
      <c r="I45" s="15" t="n">
        <v>10</v>
      </c>
      <c r="J45" s="15" t="n">
        <v>4336.92</v>
      </c>
      <c r="K45" s="18" t="n">
        <v>-9185</v>
      </c>
      <c r="L45" s="15" t="n">
        <v>0.05</v>
      </c>
      <c r="M45" s="18" t="n">
        <v>-9185.049999999999</v>
      </c>
      <c r="N45" s="17" t="n">
        <v>0</v>
      </c>
      <c r="O45" s="15" t="n">
        <v>0</v>
      </c>
      <c r="P45" s="18" t="inlineStr">
        <is>
          <t>LOSS</t>
        </is>
      </c>
      <c r="Q45" s="19" t="inlineStr"/>
    </row>
    <row r="46" ht="20" customHeight="1">
      <c r="A46" s="15" t="inlineStr">
        <is>
          <t>2026-06-10</t>
        </is>
      </c>
      <c r="B46" s="15" t="inlineStr">
        <is>
          <t>01:25:02</t>
        </is>
      </c>
      <c r="C46" s="25" t="inlineStr">
        <is>
          <t>S1 Asian Breakout</t>
        </is>
      </c>
      <c r="D46" s="18" t="inlineStr">
        <is>
          <t>SELL</t>
        </is>
      </c>
      <c r="E46" s="15" t="n">
        <v>4257.27</v>
      </c>
      <c r="F46" s="15" t="n">
        <v>4276.24</v>
      </c>
      <c r="G46" s="15" t="n">
        <v>4228.8</v>
      </c>
      <c r="H46" s="15" t="n">
        <v>4219.32</v>
      </c>
      <c r="I46" s="15" t="n">
        <v>10</v>
      </c>
      <c r="J46" s="15" t="n">
        <v>4259.22</v>
      </c>
      <c r="K46" s="18" t="n">
        <v>-1955</v>
      </c>
      <c r="L46" s="15" t="n">
        <v>0.05</v>
      </c>
      <c r="M46" s="18" t="n">
        <v>-1955.05</v>
      </c>
      <c r="N46" s="17" t="n">
        <v>0</v>
      </c>
      <c r="O46" s="15" t="n">
        <v>0</v>
      </c>
      <c r="P46" s="18" t="inlineStr">
        <is>
          <t>LOSS</t>
        </is>
      </c>
      <c r="Q46" s="19" t="inlineStr"/>
    </row>
    <row r="47" ht="20" customHeight="1">
      <c r="A47" s="20" t="inlineStr">
        <is>
          <t>2026-06-10</t>
        </is>
      </c>
      <c r="B47" s="20" t="inlineStr">
        <is>
          <t>20:49:04</t>
        </is>
      </c>
      <c r="C47" s="21" t="inlineStr">
        <is>
          <t>S1 Asian Breakout</t>
        </is>
      </c>
      <c r="D47" s="22" t="inlineStr">
        <is>
          <t>SELL</t>
        </is>
      </c>
      <c r="E47" s="20" t="n">
        <v>4171.8</v>
      </c>
      <c r="F47" s="20" t="n">
        <v>4199.68</v>
      </c>
      <c r="G47" s="20" t="n">
        <v>4129.98</v>
      </c>
      <c r="H47" s="20" t="n">
        <v>4116.04</v>
      </c>
      <c r="I47" s="20" t="n">
        <v>10</v>
      </c>
      <c r="J47" s="20" t="n">
        <v>4116.44</v>
      </c>
      <c r="K47" s="23" t="n">
        <v>55355</v>
      </c>
      <c r="L47" s="20" t="n">
        <v>0.05</v>
      </c>
      <c r="M47" s="23" t="n">
        <v>55354.95</v>
      </c>
      <c r="N47" s="23" t="n">
        <v>0</v>
      </c>
      <c r="O47" s="20" t="n">
        <v>0</v>
      </c>
      <c r="P47" s="23" t="inlineStr">
        <is>
          <t>WIN</t>
        </is>
      </c>
      <c r="Q47" s="24" t="inlineStr"/>
    </row>
    <row r="48" ht="20" customHeight="1">
      <c r="A48" s="20" t="inlineStr">
        <is>
          <t>2026-06-11</t>
        </is>
      </c>
      <c r="B48" s="20" t="inlineStr">
        <is>
          <t>01:25:01</t>
        </is>
      </c>
      <c r="C48" s="21" t="inlineStr">
        <is>
          <t>S1 Asian Breakout</t>
        </is>
      </c>
      <c r="D48" s="22" t="inlineStr">
        <is>
          <t>SELL</t>
        </is>
      </c>
      <c r="E48" s="20" t="n">
        <v>4108.03</v>
      </c>
      <c r="F48" s="20" t="n">
        <v>4126.54</v>
      </c>
      <c r="G48" s="20" t="n">
        <v>4080.26</v>
      </c>
      <c r="H48" s="20" t="n">
        <v>4071</v>
      </c>
      <c r="I48" s="20" t="n">
        <v>10</v>
      </c>
      <c r="J48" s="20" t="n">
        <v>4085.51</v>
      </c>
      <c r="K48" s="23" t="n">
        <v>22515</v>
      </c>
      <c r="L48" s="20" t="n">
        <v>0.05</v>
      </c>
      <c r="M48" s="23" t="n">
        <v>22514.95</v>
      </c>
      <c r="N48" s="23" t="n">
        <v>0</v>
      </c>
      <c r="O48" s="20" t="n">
        <v>0</v>
      </c>
      <c r="P48" s="23" t="inlineStr">
        <is>
          <t>WIN</t>
        </is>
      </c>
      <c r="Q48" s="24" t="inlineStr"/>
    </row>
    <row r="49" ht="20" customHeight="1">
      <c r="A49" s="20" t="inlineStr">
        <is>
          <t>2026-06-11</t>
        </is>
      </c>
      <c r="B49" s="20" t="inlineStr">
        <is>
          <t>23:15:04</t>
        </is>
      </c>
      <c r="C49" s="21" t="inlineStr">
        <is>
          <t>S1 Asian Breakout</t>
        </is>
      </c>
      <c r="D49" s="23" t="inlineStr">
        <is>
          <t>BUY</t>
        </is>
      </c>
      <c r="E49" s="20" t="n">
        <v>4121.57</v>
      </c>
      <c r="F49" s="20" t="n">
        <v>4097.6</v>
      </c>
      <c r="G49" s="20" t="n">
        <v>4157.51</v>
      </c>
      <c r="H49" s="20" t="n">
        <v>4169.49</v>
      </c>
      <c r="I49" s="20" t="n">
        <v>10</v>
      </c>
      <c r="J49" s="20" t="n">
        <v>4167.3</v>
      </c>
      <c r="K49" s="23" t="n">
        <v>45735</v>
      </c>
      <c r="L49" s="20" t="n">
        <v>0.05</v>
      </c>
      <c r="M49" s="23" t="n">
        <v>45734.95</v>
      </c>
      <c r="N49" s="23" t="n">
        <v>0</v>
      </c>
      <c r="O49" s="20" t="n">
        <v>0</v>
      </c>
      <c r="P49" s="23" t="inlineStr">
        <is>
          <t>WIN</t>
        </is>
      </c>
      <c r="Q49" s="24" t="inlineStr"/>
    </row>
    <row r="50" ht="20" customHeight="1">
      <c r="A50" s="20" t="inlineStr">
        <is>
          <t>2026-06-12</t>
        </is>
      </c>
      <c r="B50" s="20" t="inlineStr">
        <is>
          <t>01:05:56</t>
        </is>
      </c>
      <c r="C50" s="21" t="inlineStr">
        <is>
          <t>S1 Asian Breakout</t>
        </is>
      </c>
      <c r="D50" s="23" t="inlineStr">
        <is>
          <t>BUY</t>
        </is>
      </c>
      <c r="E50" s="20" t="n">
        <v>4156.32</v>
      </c>
      <c r="F50" s="20" t="n">
        <v>4126.75</v>
      </c>
      <c r="G50" s="20" t="n">
        <v>4200.68</v>
      </c>
      <c r="H50" s="20" t="n">
        <v>4215.47</v>
      </c>
      <c r="I50" s="20" t="n">
        <v>10</v>
      </c>
      <c r="J50" s="20" t="n">
        <v>4210.89</v>
      </c>
      <c r="K50" s="23" t="n">
        <v>54565</v>
      </c>
      <c r="L50" s="20" t="n">
        <v>0.05</v>
      </c>
      <c r="M50" s="23" t="n">
        <v>54564.95</v>
      </c>
      <c r="N50" s="23" t="n">
        <v>0</v>
      </c>
      <c r="O50" s="20" t="n">
        <v>0</v>
      </c>
      <c r="P50" s="23" t="inlineStr">
        <is>
          <t>WIN</t>
        </is>
      </c>
      <c r="Q50" s="24" t="inlineStr"/>
    </row>
    <row r="51" ht="20" customHeight="1">
      <c r="A51" s="20" t="inlineStr">
        <is>
          <t>2026-06-17</t>
        </is>
      </c>
      <c r="B51" s="20" t="inlineStr">
        <is>
          <t>01:25:01</t>
        </is>
      </c>
      <c r="C51" s="21" t="inlineStr">
        <is>
          <t>S1 Asian Breakout</t>
        </is>
      </c>
      <c r="D51" s="23" t="inlineStr">
        <is>
          <t>BUY</t>
        </is>
      </c>
      <c r="E51" s="20" t="n">
        <v>4328.31</v>
      </c>
      <c r="F51" s="20" t="n">
        <v>4314.68</v>
      </c>
      <c r="G51" s="20" t="n">
        <v>4348.74</v>
      </c>
      <c r="H51" s="20" t="n">
        <v>4355.55</v>
      </c>
      <c r="I51" s="20" t="n">
        <v>10</v>
      </c>
      <c r="J51" s="20" t="n">
        <v>4333.86</v>
      </c>
      <c r="K51" s="23" t="n">
        <v>5555</v>
      </c>
      <c r="L51" s="20" t="n">
        <v>0.05</v>
      </c>
      <c r="M51" s="23" t="n">
        <v>5554.95</v>
      </c>
      <c r="N51" s="23" t="n">
        <v>0</v>
      </c>
      <c r="O51" s="20" t="n">
        <v>0</v>
      </c>
      <c r="P51" s="23" t="inlineStr">
        <is>
          <t>WIN</t>
        </is>
      </c>
      <c r="Q51" s="24" t="inlineStr"/>
    </row>
    <row r="52" ht="20" customHeight="1">
      <c r="A52" s="20" t="inlineStr">
        <is>
          <t>2026-06-17</t>
        </is>
      </c>
      <c r="B52" s="20" t="inlineStr">
        <is>
          <t>18:37:50</t>
        </is>
      </c>
      <c r="C52" s="21" t="inlineStr">
        <is>
          <t>S1 Asian Breakout</t>
        </is>
      </c>
      <c r="D52" s="22" t="inlineStr">
        <is>
          <t>SELL</t>
        </is>
      </c>
      <c r="E52" s="20" t="n">
        <v>4326.23</v>
      </c>
      <c r="F52" s="20" t="n">
        <v>4333.95</v>
      </c>
      <c r="G52" s="20" t="n">
        <v>4314.64</v>
      </c>
      <c r="H52" s="20" t="n">
        <v>4310.78</v>
      </c>
      <c r="I52" s="20" t="n">
        <v>10</v>
      </c>
      <c r="J52" s="20" t="n">
        <v>4325.01</v>
      </c>
      <c r="K52" s="23" t="n">
        <v>1215</v>
      </c>
      <c r="L52" s="20" t="n">
        <v>0.05</v>
      </c>
      <c r="M52" s="23" t="n">
        <v>1214.95</v>
      </c>
      <c r="N52" s="23" t="n">
        <v>0</v>
      </c>
      <c r="O52" s="20" t="n">
        <v>0</v>
      </c>
      <c r="P52" s="23" t="inlineStr">
        <is>
          <t>WIN</t>
        </is>
      </c>
      <c r="Q52" s="24" t="inlineStr"/>
    </row>
    <row r="53" ht="20" customHeight="1">
      <c r="A53" s="15" t="inlineStr">
        <is>
          <t>2026-06-17</t>
        </is>
      </c>
      <c r="B53" s="15" t="inlineStr">
        <is>
          <t>18:53:33</t>
        </is>
      </c>
      <c r="C53" s="17" t="inlineStr">
        <is>
          <t>S2 Goldmine</t>
        </is>
      </c>
      <c r="D53" s="18" t="inlineStr">
        <is>
          <t>SELL</t>
        </is>
      </c>
      <c r="E53" s="15" t="n">
        <v>4327.09</v>
      </c>
      <c r="F53" s="15" t="n">
        <v>4334.94</v>
      </c>
      <c r="G53" s="15" t="n">
        <v>4315.3</v>
      </c>
      <c r="H53" s="15" t="n">
        <v>4311.37</v>
      </c>
      <c r="I53" s="15" t="n">
        <v>10</v>
      </c>
      <c r="J53" s="15" t="n">
        <v>4337.07</v>
      </c>
      <c r="K53" s="18" t="n">
        <v>-9985</v>
      </c>
      <c r="L53" s="15" t="n">
        <v>0.05</v>
      </c>
      <c r="M53" s="18" t="n">
        <v>-9985.049999999999</v>
      </c>
      <c r="N53" s="17" t="n">
        <v>0</v>
      </c>
      <c r="O53" s="15" t="n">
        <v>0</v>
      </c>
      <c r="P53" s="18" t="inlineStr">
        <is>
          <t>LOSS</t>
        </is>
      </c>
      <c r="Q53" s="19" t="inlineStr"/>
    </row>
    <row r="54" ht="20" customHeight="1">
      <c r="A54" s="20" t="inlineStr">
        <is>
          <t>2026-06-19</t>
        </is>
      </c>
      <c r="B54" s="20" t="inlineStr">
        <is>
          <t>01:25:01</t>
        </is>
      </c>
      <c r="C54" s="21" t="inlineStr">
        <is>
          <t>S1 Asian Breakout</t>
        </is>
      </c>
      <c r="D54" s="22" t="inlineStr">
        <is>
          <t>SELL</t>
        </is>
      </c>
      <c r="E54" s="20" t="n">
        <v>4217.37</v>
      </c>
      <c r="F54" s="20" t="n">
        <v>4236.27</v>
      </c>
      <c r="G54" s="20" t="n">
        <v>4189.02</v>
      </c>
      <c r="H54" s="20" t="n">
        <v>4179.57</v>
      </c>
      <c r="I54" s="20" t="n">
        <v>10</v>
      </c>
      <c r="J54" s="20" t="n">
        <v>4216.59</v>
      </c>
      <c r="K54" s="23" t="n">
        <v>785</v>
      </c>
      <c r="L54" s="20" t="n">
        <v>0.05</v>
      </c>
      <c r="M54" s="23" t="n">
        <v>784.95</v>
      </c>
      <c r="N54" s="23" t="n">
        <v>0</v>
      </c>
      <c r="O54" s="20" t="n">
        <v>0</v>
      </c>
      <c r="P54" s="23" t="inlineStr">
        <is>
          <t>WIN</t>
        </is>
      </c>
      <c r="Q54" s="24" t="inlineStr"/>
    </row>
    <row r="55" ht="20" customHeight="1">
      <c r="A55" s="20" t="inlineStr">
        <is>
          <t>2026-06-24</t>
        </is>
      </c>
      <c r="B55" s="20" t="inlineStr">
        <is>
          <t>01:25:07</t>
        </is>
      </c>
      <c r="C55" s="21" t="inlineStr">
        <is>
          <t>S1 Asian Breakout</t>
        </is>
      </c>
      <c r="D55" s="22" t="inlineStr">
        <is>
          <t>SELL</t>
        </is>
      </c>
      <c r="E55" s="20" t="n">
        <v>4125.93</v>
      </c>
      <c r="F55" s="20" t="n">
        <v>4138.04</v>
      </c>
      <c r="G55" s="20" t="n">
        <v>4107.77</v>
      </c>
      <c r="H55" s="20" t="n">
        <v>4101.71</v>
      </c>
      <c r="I55" s="20" t="n">
        <v>10</v>
      </c>
      <c r="J55" s="20" t="n">
        <v>4115.76</v>
      </c>
      <c r="K55" s="23" t="n">
        <v>10170</v>
      </c>
      <c r="L55" s="20" t="n">
        <v>0.05</v>
      </c>
      <c r="M55" s="23" t="n">
        <v>10169.95</v>
      </c>
      <c r="N55" s="23" t="n">
        <v>0</v>
      </c>
      <c r="O55" s="20" t="n">
        <v>0</v>
      </c>
      <c r="P55" s="23" t="inlineStr">
        <is>
          <t>WIN</t>
        </is>
      </c>
      <c r="Q55" s="24" t="inlineStr"/>
    </row>
    <row r="56" ht="20" customHeight="1">
      <c r="A56" s="20" t="inlineStr">
        <is>
          <t>2026-06-24</t>
        </is>
      </c>
      <c r="B56" s="20" t="inlineStr">
        <is>
          <t>17:55:42</t>
        </is>
      </c>
      <c r="C56" s="21" t="inlineStr">
        <is>
          <t>S1 Asian Breakout</t>
        </is>
      </c>
      <c r="D56" s="22" t="inlineStr">
        <is>
          <t>SELL</t>
        </is>
      </c>
      <c r="E56" s="20" t="n">
        <v>4051.89</v>
      </c>
      <c r="F56" s="20" t="n">
        <v>4064.69</v>
      </c>
      <c r="G56" s="20" t="n">
        <v>4032.69</v>
      </c>
      <c r="H56" s="20" t="n">
        <v>4026.3</v>
      </c>
      <c r="I56" s="20" t="n">
        <v>10</v>
      </c>
      <c r="J56" s="20" t="n">
        <v>4017.79</v>
      </c>
      <c r="K56" s="23" t="n">
        <v>34100</v>
      </c>
      <c r="L56" s="20" t="n">
        <v>0.05</v>
      </c>
      <c r="M56" s="23" t="n">
        <v>34099.95</v>
      </c>
      <c r="N56" s="23" t="n">
        <v>0</v>
      </c>
      <c r="O56" s="20" t="n">
        <v>0</v>
      </c>
      <c r="P56" s="23" t="inlineStr">
        <is>
          <t>WIN</t>
        </is>
      </c>
      <c r="Q56" s="24" t="inlineStr"/>
    </row>
    <row r="57" ht="20" customHeight="1">
      <c r="A57" s="15" t="inlineStr">
        <is>
          <t>2026-06-25</t>
        </is>
      </c>
      <c r="B57" s="15" t="inlineStr">
        <is>
          <t>19:16:23</t>
        </is>
      </c>
      <c r="C57" s="25" t="inlineStr">
        <is>
          <t>S1 Asian Breakout</t>
        </is>
      </c>
      <c r="D57" s="17" t="inlineStr">
        <is>
          <t>BUY</t>
        </is>
      </c>
      <c r="E57" s="15" t="n">
        <v>4024.34</v>
      </c>
      <c r="F57" s="15" t="n">
        <v>4010.58</v>
      </c>
      <c r="G57" s="15" t="n">
        <v>4044.97</v>
      </c>
      <c r="H57" s="15" t="n">
        <v>4051.85</v>
      </c>
      <c r="I57" s="15" t="n">
        <v>10</v>
      </c>
      <c r="J57" s="15" t="n">
        <v>4013.3</v>
      </c>
      <c r="K57" s="18" t="n">
        <v>-11030</v>
      </c>
      <c r="L57" s="15" t="n">
        <v>0.05</v>
      </c>
      <c r="M57" s="18" t="n">
        <v>-11030.05</v>
      </c>
      <c r="N57" s="17" t="n">
        <v>0</v>
      </c>
      <c r="O57" s="15" t="n">
        <v>0</v>
      </c>
      <c r="P57" s="18" t="inlineStr">
        <is>
          <t>LOSS</t>
        </is>
      </c>
      <c r="Q57" s="19" t="inlineStr"/>
    </row>
    <row r="58" ht="20" customHeight="1">
      <c r="A58" s="15" t="inlineStr">
        <is>
          <t>2026-06-26</t>
        </is>
      </c>
      <c r="B58" s="15" t="inlineStr">
        <is>
          <t>01:25:01</t>
        </is>
      </c>
      <c r="C58" s="25" t="inlineStr">
        <is>
          <t>S1 Asian Breakout</t>
        </is>
      </c>
      <c r="D58" s="17" t="inlineStr">
        <is>
          <t>BUY</t>
        </is>
      </c>
      <c r="E58" s="15" t="n">
        <v>4037.86</v>
      </c>
      <c r="F58" s="15" t="n">
        <v>4021.66</v>
      </c>
      <c r="G58" s="15" t="n">
        <v>4062.15</v>
      </c>
      <c r="H58" s="15" t="n">
        <v>4070.25</v>
      </c>
      <c r="I58" s="15" t="n">
        <v>10</v>
      </c>
      <c r="J58" s="15" t="n">
        <v>4025.5</v>
      </c>
      <c r="K58" s="18" t="n">
        <v>-12355</v>
      </c>
      <c r="L58" s="15" t="n">
        <v>0.05</v>
      </c>
      <c r="M58" s="18" t="n">
        <v>-12355.05</v>
      </c>
      <c r="N58" s="17" t="n">
        <v>0</v>
      </c>
      <c r="O58" s="15" t="n">
        <v>0</v>
      </c>
      <c r="P58" s="18" t="inlineStr">
        <is>
          <t>LOSS</t>
        </is>
      </c>
      <c r="Q58" s="19" t="inlineStr"/>
    </row>
    <row r="59" ht="20" customHeight="1">
      <c r="A59" s="15" t="inlineStr">
        <is>
          <t>2026-06-30</t>
        </is>
      </c>
      <c r="B59" s="15" t="inlineStr">
        <is>
          <t>19:07:10</t>
        </is>
      </c>
      <c r="C59" s="25" t="inlineStr">
        <is>
          <t>S1 Asian Breakout</t>
        </is>
      </c>
      <c r="D59" s="17" t="inlineStr">
        <is>
          <t>BUY</t>
        </is>
      </c>
      <c r="E59" s="15" t="n">
        <v>4025.73</v>
      </c>
      <c r="F59" s="15" t="n">
        <v>4013.92</v>
      </c>
      <c r="G59" s="15" t="n">
        <v>4043.43</v>
      </c>
      <c r="H59" s="15" t="n">
        <v>4049.33</v>
      </c>
      <c r="I59" s="15" t="n">
        <v>10</v>
      </c>
      <c r="J59" s="15" t="n">
        <v>4021.76</v>
      </c>
      <c r="K59" s="18" t="n">
        <v>-3965</v>
      </c>
      <c r="L59" s="15" t="n">
        <v>0.05</v>
      </c>
      <c r="M59" s="18" t="n">
        <v>-3965.05</v>
      </c>
      <c r="N59" s="17" t="n">
        <v>0</v>
      </c>
      <c r="O59" s="15" t="n">
        <v>0</v>
      </c>
      <c r="P59" s="18" t="inlineStr">
        <is>
          <t>LOSS</t>
        </is>
      </c>
      <c r="Q59" s="19" t="inlineStr"/>
    </row>
    <row r="60" ht="20" customHeight="1">
      <c r="A60" s="15" t="inlineStr">
        <is>
          <t>2026-07-01</t>
        </is>
      </c>
      <c r="B60" s="15" t="inlineStr">
        <is>
          <t>01:25:02</t>
        </is>
      </c>
      <c r="C60" s="25" t="inlineStr">
        <is>
          <t>S1 Asian Breakout</t>
        </is>
      </c>
      <c r="D60" s="17" t="inlineStr">
        <is>
          <t>BUY</t>
        </is>
      </c>
      <c r="E60" s="15" t="n">
        <v>4025.94</v>
      </c>
      <c r="F60" s="15" t="n">
        <v>4011.59</v>
      </c>
      <c r="G60" s="15" t="n">
        <v>4047.47</v>
      </c>
      <c r="H60" s="15" t="n">
        <v>4054.64</v>
      </c>
      <c r="I60" s="15" t="n">
        <v>10</v>
      </c>
      <c r="J60" s="15" t="n">
        <v>4016.35</v>
      </c>
      <c r="K60" s="18" t="n">
        <v>-9590</v>
      </c>
      <c r="L60" s="15" t="n">
        <v>0.05</v>
      </c>
      <c r="M60" s="18" t="n">
        <v>-9590.049999999999</v>
      </c>
      <c r="N60" s="17" t="n">
        <v>0</v>
      </c>
      <c r="O60" s="15" t="n">
        <v>0</v>
      </c>
      <c r="P60" s="18" t="inlineStr">
        <is>
          <t>LOSS</t>
        </is>
      </c>
      <c r="Q60" s="19" t="inlineStr"/>
    </row>
    <row r="61" ht="20" customHeight="1">
      <c r="A61" s="15" t="inlineStr">
        <is>
          <t>2026-07-01</t>
        </is>
      </c>
      <c r="B61" s="15" t="inlineStr">
        <is>
          <t>17:38:03</t>
        </is>
      </c>
      <c r="C61" s="25" t="inlineStr">
        <is>
          <t>S1 Asian Breakout</t>
        </is>
      </c>
      <c r="D61" s="17" t="inlineStr">
        <is>
          <t>BUY</t>
        </is>
      </c>
      <c r="E61" s="15" t="n">
        <v>4034.25</v>
      </c>
      <c r="F61" s="15" t="n">
        <v>4021.98</v>
      </c>
      <c r="G61" s="15" t="n">
        <v>4052.65</v>
      </c>
      <c r="H61" s="15" t="n">
        <v>4058.78</v>
      </c>
      <c r="I61" s="15" t="n">
        <v>10</v>
      </c>
      <c r="J61" s="15" t="n">
        <v>4022.55</v>
      </c>
      <c r="K61" s="18" t="n">
        <v>-11700</v>
      </c>
      <c r="L61" s="15" t="n">
        <v>0.05</v>
      </c>
      <c r="M61" s="18" t="n">
        <v>-11700.05</v>
      </c>
      <c r="N61" s="17" t="n">
        <v>0</v>
      </c>
      <c r="O61" s="15" t="n">
        <v>0</v>
      </c>
      <c r="P61" s="18" t="inlineStr">
        <is>
          <t>LOSS</t>
        </is>
      </c>
      <c r="Q61" s="19" t="inlineStr"/>
    </row>
    <row r="62" ht="20" customHeight="1">
      <c r="A62" s="20" t="inlineStr">
        <is>
          <t>2026-07-02</t>
        </is>
      </c>
      <c r="B62" s="20" t="inlineStr">
        <is>
          <t>01:22:15</t>
        </is>
      </c>
      <c r="C62" s="26" t="inlineStr">
        <is>
          <t>S3 Silver Bullet</t>
        </is>
      </c>
      <c r="D62" s="22" t="inlineStr">
        <is>
          <t>SELL</t>
        </is>
      </c>
      <c r="E62" s="20" t="n">
        <v>4066.14</v>
      </c>
      <c r="F62" s="20" t="n">
        <v>4075.32</v>
      </c>
      <c r="G62" s="20" t="n">
        <v>4052.37</v>
      </c>
      <c r="H62" s="20" t="n">
        <v>4047.78</v>
      </c>
      <c r="I62" s="20" t="n">
        <v>10</v>
      </c>
      <c r="J62" s="20" t="n">
        <v>4046.22</v>
      </c>
      <c r="K62" s="23" t="n">
        <v>19920</v>
      </c>
      <c r="L62" s="20" t="n">
        <v>0.05</v>
      </c>
      <c r="M62" s="23" t="n">
        <v>19919.95</v>
      </c>
      <c r="N62" s="23" t="n">
        <v>0</v>
      </c>
      <c r="O62" s="20" t="n">
        <v>0</v>
      </c>
      <c r="P62" s="23" t="inlineStr">
        <is>
          <t>WIN</t>
        </is>
      </c>
      <c r="Q62" s="24" t="inlineStr"/>
    </row>
    <row r="63" ht="20" customHeight="1">
      <c r="A63" s="20" t="inlineStr">
        <is>
          <t>2026-07-02</t>
        </is>
      </c>
      <c r="B63" s="20" t="inlineStr">
        <is>
          <t>18:01:10</t>
        </is>
      </c>
      <c r="C63" s="21" t="inlineStr">
        <is>
          <t>S1 Asian Breakout</t>
        </is>
      </c>
      <c r="D63" s="23" t="inlineStr">
        <is>
          <t>BUY</t>
        </is>
      </c>
      <c r="E63" s="20" t="n">
        <v>4071.25</v>
      </c>
      <c r="F63" s="20" t="n">
        <v>4060.88</v>
      </c>
      <c r="G63" s="20" t="n">
        <v>4086.81</v>
      </c>
      <c r="H63" s="20" t="n">
        <v>4091.99</v>
      </c>
      <c r="I63" s="20" t="n">
        <v>10</v>
      </c>
      <c r="J63" s="20" t="n">
        <v>4120.1</v>
      </c>
      <c r="K63" s="23" t="n">
        <v>48855</v>
      </c>
      <c r="L63" s="20" t="n">
        <v>0.05</v>
      </c>
      <c r="M63" s="23" t="n">
        <v>48854.95</v>
      </c>
      <c r="N63" s="23" t="n">
        <v>0</v>
      </c>
      <c r="O63" s="20" t="n">
        <v>0</v>
      </c>
      <c r="P63" s="23" t="inlineStr">
        <is>
          <t>WIN</t>
        </is>
      </c>
      <c r="Q63" s="24" t="inlineStr"/>
    </row>
    <row r="64" ht="20" customHeight="1">
      <c r="A64" s="20" t="inlineStr">
        <is>
          <t>2026-07-02</t>
        </is>
      </c>
      <c r="B64" s="20" t="inlineStr">
        <is>
          <t>19:20:50</t>
        </is>
      </c>
      <c r="C64" s="23" t="inlineStr">
        <is>
          <t>S2 Goldmine</t>
        </is>
      </c>
      <c r="D64" s="23" t="inlineStr">
        <is>
          <t>BUY</t>
        </is>
      </c>
      <c r="E64" s="20" t="n">
        <v>4110.27</v>
      </c>
      <c r="F64" s="20" t="n">
        <v>4093.77</v>
      </c>
      <c r="G64" s="20" t="n">
        <v>4135.02</v>
      </c>
      <c r="H64" s="20" t="n">
        <v>4143.27</v>
      </c>
      <c r="I64" s="20" t="n">
        <v>10</v>
      </c>
      <c r="J64" s="20" t="n">
        <v>4142.55</v>
      </c>
      <c r="K64" s="23" t="n">
        <v>32280</v>
      </c>
      <c r="L64" s="20" t="n">
        <v>0.05</v>
      </c>
      <c r="M64" s="23" t="n">
        <v>32279.95</v>
      </c>
      <c r="N64" s="23" t="n">
        <v>0</v>
      </c>
      <c r="O64" s="20" t="n">
        <v>0</v>
      </c>
      <c r="P64" s="23" t="inlineStr">
        <is>
          <t>WIN</t>
        </is>
      </c>
      <c r="Q64" s="24" t="inlineStr"/>
    </row>
    <row r="65" ht="20" customHeight="1">
      <c r="A65" s="20" t="inlineStr">
        <is>
          <t>2026-07-03</t>
        </is>
      </c>
      <c r="B65" s="20" t="inlineStr">
        <is>
          <t>01:25:01</t>
        </is>
      </c>
      <c r="C65" s="21" t="inlineStr">
        <is>
          <t>S1 Asian Breakout</t>
        </is>
      </c>
      <c r="D65" s="23" t="inlineStr">
        <is>
          <t>BUY</t>
        </is>
      </c>
      <c r="E65" s="20" t="n">
        <v>4114.54</v>
      </c>
      <c r="F65" s="20" t="n">
        <v>4100.36</v>
      </c>
      <c r="G65" s="20" t="n">
        <v>4135.8</v>
      </c>
      <c r="H65" s="20" t="n">
        <v>4142.89</v>
      </c>
      <c r="I65" s="20" t="n">
        <v>10</v>
      </c>
      <c r="J65" s="20" t="n">
        <v>4123.65</v>
      </c>
      <c r="K65" s="23" t="n">
        <v>9110</v>
      </c>
      <c r="L65" s="20" t="n">
        <v>0.05</v>
      </c>
      <c r="M65" s="23" t="n">
        <v>9109.950000000001</v>
      </c>
      <c r="N65" s="23" t="n">
        <v>0</v>
      </c>
      <c r="O65" s="20" t="n">
        <v>0</v>
      </c>
      <c r="P65" s="23" t="inlineStr">
        <is>
          <t>WIN</t>
        </is>
      </c>
      <c r="Q65" s="24" t="inlineStr"/>
    </row>
    <row r="66" ht="20" customHeight="1">
      <c r="A66" s="15" t="inlineStr">
        <is>
          <t>2026-07-07</t>
        </is>
      </c>
      <c r="B66" s="15" t="inlineStr">
        <is>
          <t>19:29:43</t>
        </is>
      </c>
      <c r="C66" s="25" t="inlineStr">
        <is>
          <t>S1 Asian Breakout</t>
        </is>
      </c>
      <c r="D66" s="17" t="inlineStr">
        <is>
          <t>BUY</t>
        </is>
      </c>
      <c r="E66" s="15" t="n">
        <v>4169.36</v>
      </c>
      <c r="F66" s="15" t="n">
        <v>4156.96</v>
      </c>
      <c r="G66" s="15" t="n">
        <v>4187.96</v>
      </c>
      <c r="H66" s="15" t="n">
        <v>4194.16</v>
      </c>
      <c r="I66" s="15" t="n">
        <v>10</v>
      </c>
      <c r="J66" s="15" t="n">
        <v>4157.95</v>
      </c>
      <c r="K66" s="18" t="n">
        <v>-11410</v>
      </c>
      <c r="L66" s="15" t="n">
        <v>0.05</v>
      </c>
      <c r="M66" s="18" t="n">
        <v>-11410.05</v>
      </c>
      <c r="N66" s="17" t="n">
        <v>0</v>
      </c>
      <c r="O66" s="15" t="n">
        <v>0</v>
      </c>
      <c r="P66" s="18" t="inlineStr">
        <is>
          <t>LOSS</t>
        </is>
      </c>
      <c r="Q66" s="19" t="inlineStr"/>
    </row>
    <row r="67" ht="20" customHeight="1">
      <c r="A67" s="20" t="inlineStr">
        <is>
          <t>2026-07-08</t>
        </is>
      </c>
      <c r="B67" s="20" t="inlineStr">
        <is>
          <t>00:41:42</t>
        </is>
      </c>
      <c r="C67" s="21" t="inlineStr">
        <is>
          <t>S1 Asian Breakout</t>
        </is>
      </c>
      <c r="D67" s="22" t="inlineStr">
        <is>
          <t>SELL</t>
        </is>
      </c>
      <c r="E67" s="20" t="n">
        <v>4125.68</v>
      </c>
      <c r="F67" s="20" t="n">
        <v>4135.54</v>
      </c>
      <c r="G67" s="20" t="n">
        <v>4110.89</v>
      </c>
      <c r="H67" s="20" t="n">
        <v>4105.96</v>
      </c>
      <c r="I67" s="20" t="n">
        <v>10</v>
      </c>
      <c r="J67" s="20" t="n">
        <v>4106.22</v>
      </c>
      <c r="K67" s="23" t="n">
        <v>19465</v>
      </c>
      <c r="L67" s="20" t="n">
        <v>0.05</v>
      </c>
      <c r="M67" s="23" t="n">
        <v>19464.95</v>
      </c>
      <c r="N67" s="23" t="n">
        <v>0</v>
      </c>
      <c r="O67" s="20" t="n">
        <v>0</v>
      </c>
      <c r="P67" s="23" t="inlineStr">
        <is>
          <t>WIN</t>
        </is>
      </c>
      <c r="Q67" s="24" t="inlineStr"/>
    </row>
    <row r="68" ht="20" customHeight="1">
      <c r="A68" s="15" t="inlineStr">
        <is>
          <t>2026-07-08</t>
        </is>
      </c>
      <c r="B68" s="15" t="inlineStr">
        <is>
          <t>01:25:01</t>
        </is>
      </c>
      <c r="C68" s="25" t="inlineStr">
        <is>
          <t>S1 Asian Breakout</t>
        </is>
      </c>
      <c r="D68" s="18" t="inlineStr">
        <is>
          <t>SELL</t>
        </is>
      </c>
      <c r="E68" s="15" t="n">
        <v>4104.29</v>
      </c>
      <c r="F68" s="15" t="n">
        <v>4116.07</v>
      </c>
      <c r="G68" s="15" t="n">
        <v>4086.63</v>
      </c>
      <c r="H68" s="15" t="n">
        <v>4080.74</v>
      </c>
      <c r="I68" s="15" t="n">
        <v>10</v>
      </c>
      <c r="J68" s="15" t="n">
        <v>4115.16</v>
      </c>
      <c r="K68" s="18" t="n">
        <v>-10870</v>
      </c>
      <c r="L68" s="15" t="n">
        <v>0.05</v>
      </c>
      <c r="M68" s="18" t="n">
        <v>-10870.05</v>
      </c>
      <c r="N68" s="17" t="n">
        <v>0</v>
      </c>
      <c r="O68" s="15" t="n">
        <v>0</v>
      </c>
      <c r="P68" s="18" t="inlineStr">
        <is>
          <t>LOSS</t>
        </is>
      </c>
      <c r="Q68" s="19" t="inlineStr"/>
    </row>
    <row r="69" ht="20" customHeight="1">
      <c r="A69" s="20" t="inlineStr">
        <is>
          <t>2026-07-14</t>
        </is>
      </c>
      <c r="B69" s="20" t="inlineStr">
        <is>
          <t>18:00:47</t>
        </is>
      </c>
      <c r="C69" s="21" t="inlineStr">
        <is>
          <t>S1 Asian Breakout</t>
        </is>
      </c>
      <c r="D69" s="23" t="inlineStr">
        <is>
          <t>BUY</t>
        </is>
      </c>
      <c r="E69" s="20" t="n">
        <v>4021.28</v>
      </c>
      <c r="F69" s="20" t="n">
        <v>4012.23</v>
      </c>
      <c r="G69" s="20" t="n">
        <v>4034.84</v>
      </c>
      <c r="H69" s="20" t="n">
        <v>4039.37</v>
      </c>
      <c r="I69" s="20" t="n">
        <v>10</v>
      </c>
      <c r="J69" s="20" t="n">
        <v>4081.35</v>
      </c>
      <c r="K69" s="23" t="n">
        <v>60075</v>
      </c>
      <c r="L69" s="20" t="n">
        <v>0.05</v>
      </c>
      <c r="M69" s="23" t="n">
        <v>60074.95</v>
      </c>
      <c r="N69" s="23" t="n">
        <v>0</v>
      </c>
      <c r="O69" s="20" t="n">
        <v>0</v>
      </c>
      <c r="P69" s="23" t="inlineStr">
        <is>
          <t>WIN</t>
        </is>
      </c>
      <c r="Q69" s="24" t="inlineStr"/>
    </row>
    <row r="70" ht="20" customHeight="1">
      <c r="A70" s="15" t="inlineStr">
        <is>
          <t>2026-07-15</t>
        </is>
      </c>
      <c r="B70" s="15" t="inlineStr">
        <is>
          <t>00:11:58</t>
        </is>
      </c>
      <c r="C70" s="25" t="inlineStr">
        <is>
          <t>S1 Asian Breakout</t>
        </is>
      </c>
      <c r="D70" s="17" t="inlineStr">
        <is>
          <t>BUY</t>
        </is>
      </c>
      <c r="E70" s="15" t="n">
        <v>4063.05</v>
      </c>
      <c r="F70" s="15" t="n">
        <v>4049.79</v>
      </c>
      <c r="G70" s="15" t="n">
        <v>4082.93</v>
      </c>
      <c r="H70" s="15" t="n">
        <v>4089.56</v>
      </c>
      <c r="I70" s="15" t="n">
        <v>10</v>
      </c>
      <c r="J70" s="15" t="n">
        <v>4047.2</v>
      </c>
      <c r="K70" s="18" t="n">
        <v>-15845</v>
      </c>
      <c r="L70" s="15" t="n">
        <v>0.05</v>
      </c>
      <c r="M70" s="18" t="n">
        <v>-15845.05</v>
      </c>
      <c r="N70" s="17" t="n">
        <v>0</v>
      </c>
      <c r="O70" s="15" t="n">
        <v>0</v>
      </c>
      <c r="P70" s="18" t="inlineStr">
        <is>
          <t>LOSS</t>
        </is>
      </c>
      <c r="Q70" s="19" t="inlineStr"/>
    </row>
    <row r="71" ht="20" customHeight="1">
      <c r="A71" s="15" t="inlineStr">
        <is>
          <t>2026-07-15</t>
        </is>
      </c>
      <c r="B71" s="15" t="inlineStr">
        <is>
          <t>17:12:02</t>
        </is>
      </c>
      <c r="C71" s="25" t="inlineStr">
        <is>
          <t>S1 Asian Breakout</t>
        </is>
      </c>
      <c r="D71" s="18" t="inlineStr">
        <is>
          <t>SELL</t>
        </is>
      </c>
      <c r="E71" s="15" t="n">
        <v>4029.06</v>
      </c>
      <c r="F71" s="15" t="n">
        <v>4037.76</v>
      </c>
      <c r="G71" s="15" t="n">
        <v>4016.01</v>
      </c>
      <c r="H71" s="15" t="n">
        <v>4011.66</v>
      </c>
      <c r="I71" s="15" t="n">
        <v>10</v>
      </c>
      <c r="J71" s="15" t="n">
        <v>4038.18</v>
      </c>
      <c r="K71" s="18" t="n">
        <v>-9115</v>
      </c>
      <c r="L71" s="15" t="n">
        <v>0.05</v>
      </c>
      <c r="M71" s="18" t="n">
        <v>-9115.049999999999</v>
      </c>
      <c r="N71" s="17" t="n">
        <v>0</v>
      </c>
      <c r="O71" s="15" t="n">
        <v>0</v>
      </c>
      <c r="P71" s="18" t="inlineStr">
        <is>
          <t>LOSS</t>
        </is>
      </c>
      <c r="Q71" s="19" t="inlineStr"/>
    </row>
    <row r="72" ht="20" customHeight="1">
      <c r="A72" s="15" t="inlineStr">
        <is>
          <t>2026-07-15</t>
        </is>
      </c>
      <c r="B72" s="15" t="inlineStr">
        <is>
          <t>22:59:50</t>
        </is>
      </c>
      <c r="C72" s="25" t="inlineStr">
        <is>
          <t>S1 Asian Breakout</t>
        </is>
      </c>
      <c r="D72" s="18" t="inlineStr">
        <is>
          <t>SELL</t>
        </is>
      </c>
      <c r="E72" s="15" t="n">
        <v>4028.47</v>
      </c>
      <c r="F72" s="15" t="n">
        <v>4042.39</v>
      </c>
      <c r="G72" s="15" t="n">
        <v>4007.59</v>
      </c>
      <c r="H72" s="15" t="n">
        <v>4000.62</v>
      </c>
      <c r="I72" s="15" t="n">
        <v>10</v>
      </c>
      <c r="J72" s="15" t="n">
        <v>4047.7</v>
      </c>
      <c r="K72" s="18" t="n">
        <v>-19235</v>
      </c>
      <c r="L72" s="15" t="n">
        <v>0.05</v>
      </c>
      <c r="M72" s="18" t="n">
        <v>-19235.05</v>
      </c>
      <c r="N72" s="17" t="n">
        <v>0</v>
      </c>
      <c r="O72" s="15" t="n">
        <v>0</v>
      </c>
      <c r="P72" s="18" t="inlineStr">
        <is>
          <t>LOSS</t>
        </is>
      </c>
      <c r="Q72" s="19" t="inlineStr"/>
    </row>
    <row r="73" ht="20" customHeight="1">
      <c r="A73" s="15" t="inlineStr">
        <is>
          <t>2026-07-16</t>
        </is>
      </c>
      <c r="B73" s="15" t="inlineStr">
        <is>
          <t>17:05:20</t>
        </is>
      </c>
      <c r="C73" s="25" t="inlineStr">
        <is>
          <t>S1 Asian Breakout</t>
        </is>
      </c>
      <c r="D73" s="18" t="inlineStr">
        <is>
          <t>SELL</t>
        </is>
      </c>
      <c r="E73" s="15" t="n">
        <v>4023.07</v>
      </c>
      <c r="F73" s="15" t="n">
        <v>4030.24</v>
      </c>
      <c r="G73" s="15" t="n">
        <v>4012.33</v>
      </c>
      <c r="H73" s="15" t="n">
        <v>4008.75</v>
      </c>
      <c r="I73" s="15" t="n">
        <v>10</v>
      </c>
      <c r="J73" s="15" t="n">
        <v>4029.78</v>
      </c>
      <c r="K73" s="18" t="n">
        <v>-6705</v>
      </c>
      <c r="L73" s="15" t="n">
        <v>0.05</v>
      </c>
      <c r="M73" s="18" t="n">
        <v>-6705.05</v>
      </c>
      <c r="N73" s="17" t="n">
        <v>0</v>
      </c>
      <c r="O73" s="15" t="n">
        <v>0</v>
      </c>
      <c r="P73" s="18" t="inlineStr">
        <is>
          <t>LOSS</t>
        </is>
      </c>
      <c r="Q73" s="19" t="inlineStr"/>
    </row>
    <row r="74" ht="20" customHeight="1">
      <c r="A74" s="20" t="inlineStr">
        <is>
          <t>2026-07-21</t>
        </is>
      </c>
      <c r="B74" s="20" t="inlineStr">
        <is>
          <t>23:56:12</t>
        </is>
      </c>
      <c r="C74" s="21" t="inlineStr">
        <is>
          <t>S1 Asian Breakout</t>
        </is>
      </c>
      <c r="D74" s="23" t="inlineStr">
        <is>
          <t>BUY</t>
        </is>
      </c>
      <c r="E74" s="20" t="n">
        <v>4070.61</v>
      </c>
      <c r="F74" s="20" t="n">
        <v>4063.26</v>
      </c>
      <c r="G74" s="20" t="n">
        <v>4081.64</v>
      </c>
      <c r="H74" s="20" t="n">
        <v>4085.32</v>
      </c>
      <c r="I74" s="20" t="n">
        <v>10</v>
      </c>
      <c r="J74" s="20" t="n">
        <v>4086.19</v>
      </c>
      <c r="K74" s="23" t="n">
        <v>15575</v>
      </c>
      <c r="L74" s="20" t="n">
        <v>0.05</v>
      </c>
      <c r="M74" s="23" t="n">
        <v>15574.95</v>
      </c>
      <c r="N74" s="23" t="n">
        <v>0</v>
      </c>
      <c r="O74" s="20" t="n">
        <v>0</v>
      </c>
      <c r="P74" s="23" t="inlineStr">
        <is>
          <t>WIN</t>
        </is>
      </c>
      <c r="Q74" s="24" t="inlineStr"/>
    </row>
    <row r="75" ht="20" customHeight="1">
      <c r="A75" s="15" t="inlineStr">
        <is>
          <t>2026-07-22</t>
        </is>
      </c>
      <c r="B75" s="15" t="inlineStr">
        <is>
          <t>01:25:01</t>
        </is>
      </c>
      <c r="C75" s="25" t="inlineStr">
        <is>
          <t>S1 Asian Breakout</t>
        </is>
      </c>
      <c r="D75" s="17" t="inlineStr">
        <is>
          <t>BUY</t>
        </is>
      </c>
      <c r="E75" s="15" t="n">
        <v>4085.85</v>
      </c>
      <c r="F75" s="15" t="n">
        <v>4077.2</v>
      </c>
      <c r="G75" s="15" t="n">
        <v>4098.83</v>
      </c>
      <c r="H75" s="15" t="n">
        <v>4103.16</v>
      </c>
      <c r="I75" s="15" t="n">
        <v>10</v>
      </c>
      <c r="J75" s="15" t="n">
        <v>4084.4</v>
      </c>
      <c r="K75" s="18" t="n">
        <v>-1450</v>
      </c>
      <c r="L75" s="15" t="n">
        <v>0.05</v>
      </c>
      <c r="M75" s="18" t="n">
        <v>-1450.05</v>
      </c>
      <c r="N75" s="17" t="n">
        <v>0</v>
      </c>
      <c r="O75" s="15" t="n">
        <v>0</v>
      </c>
      <c r="P75" s="18" t="inlineStr">
        <is>
          <t>LOSS</t>
        </is>
      </c>
      <c r="Q75" s="19" t="inlineStr"/>
    </row>
    <row r="76" ht="20" customHeight="1">
      <c r="A76" s="15" t="inlineStr">
        <is>
          <t>2026-07-22</t>
        </is>
      </c>
      <c r="B76" s="15" t="inlineStr">
        <is>
          <t>18:17:28</t>
        </is>
      </c>
      <c r="C76" s="25" t="inlineStr">
        <is>
          <t>S1 Asian Breakout</t>
        </is>
      </c>
      <c r="D76" s="17" t="inlineStr">
        <is>
          <t>BUY</t>
        </is>
      </c>
      <c r="E76" s="15" t="n">
        <v>4131.82</v>
      </c>
      <c r="F76" s="15" t="n">
        <v>4123.31</v>
      </c>
      <c r="G76" s="15" t="n">
        <v>4144.59</v>
      </c>
      <c r="H76" s="15" t="n">
        <v>4148.84</v>
      </c>
      <c r="I76" s="15" t="n">
        <v>10</v>
      </c>
      <c r="J76" s="15" t="n">
        <v>4121.67</v>
      </c>
      <c r="K76" s="18" t="n">
        <v>-10150</v>
      </c>
      <c r="L76" s="15" t="n">
        <v>0.05</v>
      </c>
      <c r="M76" s="18" t="n">
        <v>-10150.05</v>
      </c>
      <c r="N76" s="17" t="n">
        <v>0</v>
      </c>
      <c r="O76" s="15" t="n">
        <v>0</v>
      </c>
      <c r="P76" s="18" t="inlineStr">
        <is>
          <t>LOSS</t>
        </is>
      </c>
      <c r="Q76" s="19" t="inlineStr"/>
    </row>
    <row r="77" ht="20" customHeight="1">
      <c r="A77" s="20" t="inlineStr">
        <is>
          <t>2026-07-29</t>
        </is>
      </c>
      <c r="B77" s="20" t="inlineStr">
        <is>
          <t>01:25:02</t>
        </is>
      </c>
      <c r="C77" s="21" t="inlineStr">
        <is>
          <t>S1 Asian Breakout</t>
        </is>
      </c>
      <c r="D77" s="22" t="inlineStr">
        <is>
          <t>SELL</t>
        </is>
      </c>
      <c r="E77" s="20" t="n">
        <v>4027.14</v>
      </c>
      <c r="F77" s="20" t="n">
        <v>4036.53</v>
      </c>
      <c r="G77" s="20" t="n">
        <v>4013.06</v>
      </c>
      <c r="H77" s="20" t="n">
        <v>4008.36</v>
      </c>
      <c r="I77" s="20" t="n">
        <v>10</v>
      </c>
      <c r="J77" s="20" t="n">
        <v>4027.06</v>
      </c>
      <c r="K77" s="23" t="n">
        <v>80</v>
      </c>
      <c r="L77" s="20" t="n">
        <v>0.05</v>
      </c>
      <c r="M77" s="23" t="n">
        <v>79.95</v>
      </c>
      <c r="N77" s="23" t="n">
        <v>0</v>
      </c>
      <c r="O77" s="20" t="n">
        <v>0</v>
      </c>
      <c r="P77" s="23" t="inlineStr">
        <is>
          <t>WIN</t>
        </is>
      </c>
      <c r="Q77" s="24" t="inlineStr"/>
    </row>
    <row r="78" ht="20" customHeight="1">
      <c r="A78" s="15" t="inlineStr">
        <is>
          <t>2026-07-30</t>
        </is>
      </c>
      <c r="B78" s="15" t="inlineStr">
        <is>
          <t>15:38:20</t>
        </is>
      </c>
      <c r="C78" s="25" t="inlineStr">
        <is>
          <t>S1 Asian Breakout</t>
        </is>
      </c>
      <c r="D78" s="18" t="inlineStr">
        <is>
          <t>SELL</t>
        </is>
      </c>
      <c r="E78" s="15" t="n">
        <v>4007.32</v>
      </c>
      <c r="F78" s="15" t="n">
        <v>4018.79</v>
      </c>
      <c r="G78" s="15" t="n">
        <v>3990.12</v>
      </c>
      <c r="H78" s="15" t="n">
        <v>3984.39</v>
      </c>
      <c r="I78" s="15" t="n">
        <v>10</v>
      </c>
      <c r="J78" s="15" t="n">
        <v>4070.32</v>
      </c>
      <c r="K78" s="18" t="n">
        <v>-63000</v>
      </c>
      <c r="L78" s="15" t="n">
        <v>0.05</v>
      </c>
      <c r="M78" s="18" t="n">
        <v>-63000.05</v>
      </c>
      <c r="N78" s="17" t="n">
        <v>0</v>
      </c>
      <c r="O78" s="15" t="n">
        <v>0</v>
      </c>
      <c r="P78" s="18" t="inlineStr">
        <is>
          <t>LOSS</t>
        </is>
      </c>
      <c r="Q78" s="19" t="inlineStr"/>
    </row>
    <row r="79" ht="20" customHeight="1">
      <c r="A79" s="15" t="inlineStr">
        <is>
          <t>2026-07-31</t>
        </is>
      </c>
      <c r="B79" s="15" t="inlineStr">
        <is>
          <t>01:25:02</t>
        </is>
      </c>
      <c r="C79" s="25" t="inlineStr">
        <is>
          <t>S1 Asian Breakout</t>
        </is>
      </c>
      <c r="D79" s="17" t="inlineStr">
        <is>
          <t>BUY</t>
        </is>
      </c>
      <c r="E79" s="15" t="n">
        <v>4118.5</v>
      </c>
      <c r="F79" s="15" t="n">
        <v>4096.06</v>
      </c>
      <c r="G79" s="15" t="n">
        <v>4152.14</v>
      </c>
      <c r="H79" s="15" t="n">
        <v>4163.36</v>
      </c>
      <c r="I79" s="15" t="n">
        <v>10</v>
      </c>
      <c r="J79" s="15" t="n">
        <v>4109.5</v>
      </c>
      <c r="K79" s="18" t="n">
        <v>-8995</v>
      </c>
      <c r="L79" s="15" t="n">
        <v>0.05</v>
      </c>
      <c r="M79" s="18" t="n">
        <v>-8995.049999999999</v>
      </c>
      <c r="N79" s="17" t="n">
        <v>0</v>
      </c>
      <c r="O79" s="15" t="n">
        <v>0</v>
      </c>
      <c r="P79" s="18" t="inlineStr">
        <is>
          <t>LOSS</t>
        </is>
      </c>
      <c r="Q79" s="19" t="inlineStr"/>
    </row>
    <row r="80" ht="20" customHeight="1">
      <c r="A80" s="20" t="inlineStr">
        <is>
          <t>2026-08-04</t>
        </is>
      </c>
      <c r="B80" s="20" t="inlineStr">
        <is>
          <t>19:19:33</t>
        </is>
      </c>
      <c r="C80" s="21" t="inlineStr">
        <is>
          <t>S1 Asian Breakout</t>
        </is>
      </c>
      <c r="D80" s="23" t="inlineStr">
        <is>
          <t>BUY</t>
        </is>
      </c>
      <c r="E80" s="20" t="n">
        <v>4069.96</v>
      </c>
      <c r="F80" s="20" t="n">
        <v>4058.64</v>
      </c>
      <c r="G80" s="20" t="n">
        <v>4086.95</v>
      </c>
      <c r="H80" s="20" t="n">
        <v>4092.61</v>
      </c>
      <c r="I80" s="20" t="n">
        <v>10</v>
      </c>
      <c r="J80" s="20" t="n">
        <v>4092.77</v>
      </c>
      <c r="K80" s="23" t="n">
        <v>22810</v>
      </c>
      <c r="L80" s="20" t="n">
        <v>0.05</v>
      </c>
      <c r="M80" s="23" t="n">
        <v>22809.95</v>
      </c>
      <c r="N80" s="23" t="n">
        <v>0</v>
      </c>
      <c r="O80" s="20" t="n">
        <v>0</v>
      </c>
      <c r="P80" s="23" t="inlineStr">
        <is>
          <t>WIN</t>
        </is>
      </c>
      <c r="Q80" s="24" t="inlineStr"/>
    </row>
    <row r="81" ht="20" customHeight="1">
      <c r="A81" s="15" t="inlineStr">
        <is>
          <t>2026-08-04</t>
        </is>
      </c>
      <c r="B81" s="15" t="inlineStr">
        <is>
          <t>22:34:23</t>
        </is>
      </c>
      <c r="C81" s="16" t="inlineStr">
        <is>
          <t>S3 Silver Bullet</t>
        </is>
      </c>
      <c r="D81" s="18" t="inlineStr">
        <is>
          <t>SELL</t>
        </is>
      </c>
      <c r="E81" s="15" t="n">
        <v>4083.34</v>
      </c>
      <c r="F81" s="15" t="n">
        <v>4100.59</v>
      </c>
      <c r="G81" s="15" t="n">
        <v>4057.46</v>
      </c>
      <c r="H81" s="15" t="n">
        <v>4048.83</v>
      </c>
      <c r="I81" s="15" t="n">
        <v>10</v>
      </c>
      <c r="J81" s="15" t="n">
        <v>4100.35</v>
      </c>
      <c r="K81" s="18" t="n">
        <v>-17010</v>
      </c>
      <c r="L81" s="15" t="n">
        <v>0.05</v>
      </c>
      <c r="M81" s="18" t="n">
        <v>-17010.05</v>
      </c>
      <c r="N81" s="17" t="n">
        <v>0</v>
      </c>
      <c r="O81" s="15" t="n">
        <v>0</v>
      </c>
      <c r="P81" s="18" t="inlineStr">
        <is>
          <t>LOSS</t>
        </is>
      </c>
      <c r="Q81" s="19" t="inlineStr"/>
    </row>
    <row r="82" ht="20" customHeight="1">
      <c r="A82" s="15" t="inlineStr">
        <is>
          <t>2026-08-06</t>
        </is>
      </c>
      <c r="B82" s="15" t="inlineStr">
        <is>
          <t>01:25:02</t>
        </is>
      </c>
      <c r="C82" s="25" t="inlineStr">
        <is>
          <t>S1 Asian Breakout</t>
        </is>
      </c>
      <c r="D82" s="17" t="inlineStr">
        <is>
          <t>BUY</t>
        </is>
      </c>
      <c r="E82" s="15" t="n">
        <v>4255.57</v>
      </c>
      <c r="F82" s="15" t="n">
        <v>4239.3</v>
      </c>
      <c r="G82" s="15" t="n">
        <v>4279.98</v>
      </c>
      <c r="H82" s="15" t="n">
        <v>4288.12</v>
      </c>
      <c r="I82" s="15" t="n">
        <v>10</v>
      </c>
      <c r="J82" s="15" t="n">
        <v>4249.09</v>
      </c>
      <c r="K82" s="18" t="n">
        <v>-6480</v>
      </c>
      <c r="L82" s="15" t="n">
        <v>0.05</v>
      </c>
      <c r="M82" s="18" t="n">
        <v>-6480.05</v>
      </c>
      <c r="N82" s="17" t="n">
        <v>0</v>
      </c>
      <c r="O82" s="15" t="n">
        <v>0</v>
      </c>
      <c r="P82" s="18" t="inlineStr">
        <is>
          <t>LOSS</t>
        </is>
      </c>
      <c r="Q82" s="19" t="inlineStr"/>
    </row>
    <row r="83" ht="20" customHeight="1">
      <c r="A83" s="15" t="inlineStr">
        <is>
          <t>2026-08-06</t>
        </is>
      </c>
      <c r="B83" s="15" t="inlineStr">
        <is>
          <t>18:51:09</t>
        </is>
      </c>
      <c r="C83" s="25" t="inlineStr">
        <is>
          <t>S1 Asian Breakout</t>
        </is>
      </c>
      <c r="D83" s="18" t="inlineStr">
        <is>
          <t>SELL</t>
        </is>
      </c>
      <c r="E83" s="15" t="n">
        <v>4233.75</v>
      </c>
      <c r="F83" s="15" t="n">
        <v>4248.22</v>
      </c>
      <c r="G83" s="15" t="n">
        <v>4212.05</v>
      </c>
      <c r="H83" s="15" t="n">
        <v>4204.81</v>
      </c>
      <c r="I83" s="15" t="n">
        <v>10</v>
      </c>
      <c r="J83" s="15" t="n">
        <v>4247.18</v>
      </c>
      <c r="K83" s="18" t="n">
        <v>-13430</v>
      </c>
      <c r="L83" s="15" t="n">
        <v>0.05</v>
      </c>
      <c r="M83" s="18" t="n">
        <v>-13430.05</v>
      </c>
      <c r="N83" s="17" t="n">
        <v>0</v>
      </c>
      <c r="O83" s="15" t="n">
        <v>0</v>
      </c>
      <c r="P83" s="18" t="inlineStr">
        <is>
          <t>LOSS</t>
        </is>
      </c>
      <c r="Q83" s="19" t="inlineStr"/>
    </row>
    <row r="84" ht="20" customHeight="1">
      <c r="A84" s="20" t="inlineStr">
        <is>
          <t>2026-08-12</t>
        </is>
      </c>
      <c r="B84" s="20" t="inlineStr">
        <is>
          <t>01:25:01</t>
        </is>
      </c>
      <c r="C84" s="26" t="inlineStr">
        <is>
          <t>S3 Silver Bullet</t>
        </is>
      </c>
      <c r="D84" s="23" t="inlineStr">
        <is>
          <t>BUY</t>
        </is>
      </c>
      <c r="E84" s="20" t="n">
        <v>4365.69</v>
      </c>
      <c r="F84" s="20" t="n">
        <v>4355.91</v>
      </c>
      <c r="G84" s="20" t="n">
        <v>4380.37</v>
      </c>
      <c r="H84" s="20" t="n">
        <v>4385.26</v>
      </c>
      <c r="I84" s="20" t="n">
        <v>10</v>
      </c>
      <c r="J84" s="20" t="n">
        <v>4369.47</v>
      </c>
      <c r="K84" s="23" t="n">
        <v>3775</v>
      </c>
      <c r="L84" s="20" t="n">
        <v>0.05</v>
      </c>
      <c r="M84" s="23" t="n">
        <v>3774.95</v>
      </c>
      <c r="N84" s="23" t="n">
        <v>0</v>
      </c>
      <c r="O84" s="20" t="n">
        <v>0</v>
      </c>
      <c r="P84" s="23" t="inlineStr">
        <is>
          <t>WIN</t>
        </is>
      </c>
      <c r="Q84" s="24" t="inlineStr"/>
    </row>
    <row r="85" ht="20" customHeight="1">
      <c r="A85" s="15" t="inlineStr">
        <is>
          <t>2026-08-12</t>
        </is>
      </c>
      <c r="B85" s="15" t="inlineStr">
        <is>
          <t>17:53:35</t>
        </is>
      </c>
      <c r="C85" s="25" t="inlineStr">
        <is>
          <t>S1 Asian Breakout</t>
        </is>
      </c>
      <c r="D85" s="17" t="inlineStr">
        <is>
          <t>BUY</t>
        </is>
      </c>
      <c r="E85" s="15" t="n">
        <v>4415.02</v>
      </c>
      <c r="F85" s="15" t="n">
        <v>4405.88</v>
      </c>
      <c r="G85" s="15" t="n">
        <v>4428.75</v>
      </c>
      <c r="H85" s="15" t="n">
        <v>4433.32</v>
      </c>
      <c r="I85" s="15" t="n">
        <v>10</v>
      </c>
      <c r="J85" s="15" t="n">
        <v>4408.91</v>
      </c>
      <c r="K85" s="18" t="n">
        <v>-6115</v>
      </c>
      <c r="L85" s="15" t="n">
        <v>0.05</v>
      </c>
      <c r="M85" s="18" t="n">
        <v>-6115.05</v>
      </c>
      <c r="N85" s="17" t="n">
        <v>0</v>
      </c>
      <c r="O85" s="15" t="n">
        <v>0</v>
      </c>
      <c r="P85" s="18" t="inlineStr">
        <is>
          <t>LOSS</t>
        </is>
      </c>
      <c r="Q85" s="19" t="inlineStr"/>
    </row>
    <row r="86" ht="20" customHeight="1">
      <c r="A86" s="15" t="inlineStr">
        <is>
          <t>2026-08-13</t>
        </is>
      </c>
      <c r="B86" s="15" t="inlineStr">
        <is>
          <t>01:25:02</t>
        </is>
      </c>
      <c r="C86" s="25" t="inlineStr">
        <is>
          <t>S1 Asian Breakout</t>
        </is>
      </c>
      <c r="D86" s="17" t="inlineStr">
        <is>
          <t>BUY</t>
        </is>
      </c>
      <c r="E86" s="15" t="n">
        <v>4415.3</v>
      </c>
      <c r="F86" s="15" t="n">
        <v>4402.47</v>
      </c>
      <c r="G86" s="15" t="n">
        <v>4434.55</v>
      </c>
      <c r="H86" s="15" t="n">
        <v>4440.97</v>
      </c>
      <c r="I86" s="15" t="n">
        <v>10</v>
      </c>
      <c r="J86" s="15" t="n">
        <v>4411.38</v>
      </c>
      <c r="K86" s="18" t="n">
        <v>-3920</v>
      </c>
      <c r="L86" s="15" t="n">
        <v>0.05</v>
      </c>
      <c r="M86" s="18" t="n">
        <v>-3920.05</v>
      </c>
      <c r="N86" s="17" t="n">
        <v>0</v>
      </c>
      <c r="O86" s="15" t="n">
        <v>0</v>
      </c>
      <c r="P86" s="18" t="inlineStr">
        <is>
          <t>LOSS</t>
        </is>
      </c>
      <c r="Q86" s="19" t="inlineStr"/>
    </row>
    <row r="87" ht="20" customHeight="1">
      <c r="A87" s="20" t="inlineStr">
        <is>
          <t>2026-08-13</t>
        </is>
      </c>
      <c r="B87" s="20" t="inlineStr">
        <is>
          <t>19:39:11</t>
        </is>
      </c>
      <c r="C87" s="21" t="inlineStr">
        <is>
          <t>S1 Asian Breakout</t>
        </is>
      </c>
      <c r="D87" s="22" t="inlineStr">
        <is>
          <t>SELL</t>
        </is>
      </c>
      <c r="E87" s="20" t="n">
        <v>4393.49</v>
      </c>
      <c r="F87" s="20" t="n">
        <v>4405.22</v>
      </c>
      <c r="G87" s="20" t="n">
        <v>4375.89</v>
      </c>
      <c r="H87" s="20" t="n">
        <v>4370.03</v>
      </c>
      <c r="I87" s="20" t="n">
        <v>10</v>
      </c>
      <c r="J87" s="20" t="n">
        <v>4377.86</v>
      </c>
      <c r="K87" s="23" t="n">
        <v>15630</v>
      </c>
      <c r="L87" s="20" t="n">
        <v>0.05</v>
      </c>
      <c r="M87" s="23" t="n">
        <v>15629.95</v>
      </c>
      <c r="N87" s="23" t="n">
        <v>0</v>
      </c>
      <c r="O87" s="20" t="n">
        <v>0</v>
      </c>
      <c r="P87" s="23" t="inlineStr">
        <is>
          <t>WIN</t>
        </is>
      </c>
      <c r="Q87" s="24" t="inlineStr"/>
    </row>
    <row r="88" ht="20" customHeight="1">
      <c r="A88" s="20" t="inlineStr">
        <is>
          <t>2026-08-14</t>
        </is>
      </c>
      <c r="B88" s="20" t="inlineStr">
        <is>
          <t>01:25:02</t>
        </is>
      </c>
      <c r="C88" s="21" t="inlineStr">
        <is>
          <t>S1 Asian Breakout</t>
        </is>
      </c>
      <c r="D88" s="22" t="inlineStr">
        <is>
          <t>SELL</t>
        </is>
      </c>
      <c r="E88" s="20" t="n">
        <v>4355.52</v>
      </c>
      <c r="F88" s="20" t="n">
        <v>4369.53</v>
      </c>
      <c r="G88" s="20" t="n">
        <v>4334.51</v>
      </c>
      <c r="H88" s="20" t="n">
        <v>4327.5</v>
      </c>
      <c r="I88" s="20" t="n">
        <v>10</v>
      </c>
      <c r="J88" s="20" t="n">
        <v>4350.32</v>
      </c>
      <c r="K88" s="23" t="n">
        <v>5200</v>
      </c>
      <c r="L88" s="20" t="n">
        <v>0.05</v>
      </c>
      <c r="M88" s="23" t="n">
        <v>5199.95</v>
      </c>
      <c r="N88" s="23" t="n">
        <v>0</v>
      </c>
      <c r="O88" s="20" t="n">
        <v>0</v>
      </c>
      <c r="P88" s="23" t="inlineStr">
        <is>
          <t>WIN</t>
        </is>
      </c>
      <c r="Q88" s="24" t="inlineStr"/>
    </row>
    <row r="89" ht="20" customHeight="1">
      <c r="A89" s="15" t="inlineStr">
        <is>
          <t>2026-08-18</t>
        </is>
      </c>
      <c r="B89" s="15" t="inlineStr">
        <is>
          <t>14:06:36</t>
        </is>
      </c>
      <c r="C89" s="25" t="inlineStr">
        <is>
          <t>S1 Asian Breakout</t>
        </is>
      </c>
      <c r="D89" s="18" t="inlineStr">
        <is>
          <t>SELL</t>
        </is>
      </c>
      <c r="E89" s="15" t="n">
        <v>4387.24</v>
      </c>
      <c r="F89" s="15" t="n">
        <v>4395.9</v>
      </c>
      <c r="G89" s="15" t="n">
        <v>4374.26</v>
      </c>
      <c r="H89" s="15" t="n">
        <v>4369.93</v>
      </c>
      <c r="I89" s="15" t="n">
        <v>10</v>
      </c>
      <c r="J89" s="15" t="n">
        <v>4397.83</v>
      </c>
      <c r="K89" s="18" t="n">
        <v>-10585</v>
      </c>
      <c r="L89" s="15" t="n">
        <v>0.05</v>
      </c>
      <c r="M89" s="18" t="n">
        <v>-10585.05</v>
      </c>
      <c r="N89" s="17" t="n">
        <v>0</v>
      </c>
      <c r="O89" s="15" t="n">
        <v>0</v>
      </c>
      <c r="P89" s="18" t="inlineStr">
        <is>
          <t>LOSS</t>
        </is>
      </c>
      <c r="Q89" s="19" t="inlineStr"/>
    </row>
    <row r="90" ht="20" customHeight="1">
      <c r="A90" s="20" t="inlineStr">
        <is>
          <t>2026-08-19</t>
        </is>
      </c>
      <c r="B90" s="20" t="inlineStr">
        <is>
          <t>01:25:02</t>
        </is>
      </c>
      <c r="C90" s="21" t="inlineStr">
        <is>
          <t>S1 Asian Breakout</t>
        </is>
      </c>
      <c r="D90" s="22" t="inlineStr">
        <is>
          <t>SELL</t>
        </is>
      </c>
      <c r="E90" s="20" t="n">
        <v>4351.51</v>
      </c>
      <c r="F90" s="20" t="n">
        <v>4359.68</v>
      </c>
      <c r="G90" s="20" t="n">
        <v>4339.25</v>
      </c>
      <c r="H90" s="20" t="n">
        <v>4335.17</v>
      </c>
      <c r="I90" s="20" t="n">
        <v>10</v>
      </c>
      <c r="J90" s="20" t="n">
        <v>4345.92</v>
      </c>
      <c r="K90" s="23" t="n">
        <v>5590</v>
      </c>
      <c r="L90" s="20" t="n">
        <v>0.05</v>
      </c>
      <c r="M90" s="23" t="n">
        <v>5589.95</v>
      </c>
      <c r="N90" s="23" t="n">
        <v>0</v>
      </c>
      <c r="O90" s="20" t="n">
        <v>0</v>
      </c>
      <c r="P90" s="23" t="inlineStr">
        <is>
          <t>WIN</t>
        </is>
      </c>
      <c r="Q90" s="24" t="inlineStr"/>
    </row>
    <row r="91" ht="20" customHeight="1">
      <c r="A91" s="15" t="inlineStr">
        <is>
          <t>2026-08-19</t>
        </is>
      </c>
      <c r="B91" s="15" t="inlineStr">
        <is>
          <t>13:50:35</t>
        </is>
      </c>
      <c r="C91" s="25" t="inlineStr">
        <is>
          <t>S1 Asian Breakout</t>
        </is>
      </c>
      <c r="D91" s="18" t="inlineStr">
        <is>
          <t>SELL</t>
        </is>
      </c>
      <c r="E91" s="15" t="n">
        <v>4340.84</v>
      </c>
      <c r="F91" s="15" t="n">
        <v>4350.09</v>
      </c>
      <c r="G91" s="15" t="n">
        <v>4326.97</v>
      </c>
      <c r="H91" s="15" t="n">
        <v>4322.35</v>
      </c>
      <c r="I91" s="15" t="n">
        <v>10</v>
      </c>
      <c r="J91" s="15" t="n">
        <v>4358.87</v>
      </c>
      <c r="K91" s="18" t="n">
        <v>-18030</v>
      </c>
      <c r="L91" s="15" t="n">
        <v>0.05</v>
      </c>
      <c r="M91" s="18" t="n">
        <v>-18030.05</v>
      </c>
      <c r="N91" s="17" t="n">
        <v>0</v>
      </c>
      <c r="O91" s="15" t="n">
        <v>0</v>
      </c>
      <c r="P91" s="18" t="inlineStr">
        <is>
          <t>LOSS</t>
        </is>
      </c>
      <c r="Q91" s="19" t="inlineStr"/>
    </row>
    <row r="92" ht="20" customHeight="1">
      <c r="A92" s="20" t="inlineStr">
        <is>
          <t>2026-08-20</t>
        </is>
      </c>
      <c r="B92" s="20" t="inlineStr">
        <is>
          <t>01:25:01</t>
        </is>
      </c>
      <c r="C92" s="21" t="inlineStr">
        <is>
          <t>S1 Asian Breakout</t>
        </is>
      </c>
      <c r="D92" s="23" t="inlineStr">
        <is>
          <t>BUY</t>
        </is>
      </c>
      <c r="E92" s="20" t="n">
        <v>4497.38</v>
      </c>
      <c r="F92" s="20" t="n">
        <v>4484.65</v>
      </c>
      <c r="G92" s="20" t="n">
        <v>4516.47</v>
      </c>
      <c r="H92" s="20" t="n">
        <v>4522.84</v>
      </c>
      <c r="I92" s="20" t="n">
        <v>10</v>
      </c>
      <c r="J92" s="20" t="n">
        <v>4510.69</v>
      </c>
      <c r="K92" s="23" t="n">
        <v>13310</v>
      </c>
      <c r="L92" s="20" t="n">
        <v>0.05</v>
      </c>
      <c r="M92" s="23" t="n">
        <v>13309.95</v>
      </c>
      <c r="N92" s="23" t="n">
        <v>0</v>
      </c>
      <c r="O92" s="20" t="n">
        <v>0</v>
      </c>
      <c r="P92" s="23" t="inlineStr">
        <is>
          <t>WIN</t>
        </is>
      </c>
      <c r="Q92" s="24" t="inlineStr"/>
    </row>
    <row r="93" ht="20" customHeight="1">
      <c r="A93" s="15" t="inlineStr">
        <is>
          <t>2026-08-20</t>
        </is>
      </c>
      <c r="B93" s="15" t="inlineStr">
        <is>
          <t>15:24:03</t>
        </is>
      </c>
      <c r="C93" s="16" t="inlineStr">
        <is>
          <t>S3 Silver Bullet</t>
        </is>
      </c>
      <c r="D93" s="17" t="inlineStr">
        <is>
          <t>BUY</t>
        </is>
      </c>
      <c r="E93" s="15" t="n">
        <v>4492.51</v>
      </c>
      <c r="F93" s="15" t="n">
        <v>4482.66</v>
      </c>
      <c r="G93" s="15" t="n">
        <v>4507.28</v>
      </c>
      <c r="H93" s="15" t="n">
        <v>4512.21</v>
      </c>
      <c r="I93" s="15" t="n">
        <v>10</v>
      </c>
      <c r="J93" s="15" t="n">
        <v>4483.03</v>
      </c>
      <c r="K93" s="18" t="n">
        <v>-9480</v>
      </c>
      <c r="L93" s="15" t="n">
        <v>0.05</v>
      </c>
      <c r="M93" s="18" t="n">
        <v>-9480.049999999999</v>
      </c>
      <c r="N93" s="17" t="n">
        <v>0</v>
      </c>
      <c r="O93" s="15" t="n">
        <v>0</v>
      </c>
      <c r="P93" s="18" t="inlineStr">
        <is>
          <t>LOSS</t>
        </is>
      </c>
      <c r="Q93" s="19" t="inlineStr"/>
    </row>
    <row r="94" ht="20" customHeight="1">
      <c r="A94" s="15" t="inlineStr">
        <is>
          <t>2026-08-25</t>
        </is>
      </c>
      <c r="B94" s="15" t="inlineStr">
        <is>
          <t>20:58:43</t>
        </is>
      </c>
      <c r="C94" s="25" t="inlineStr">
        <is>
          <t>S1 Asian Breakout</t>
        </is>
      </c>
      <c r="D94" s="18" t="inlineStr">
        <is>
          <t>SELL</t>
        </is>
      </c>
      <c r="E94" s="15" t="n">
        <v>4615.22</v>
      </c>
      <c r="F94" s="15" t="n">
        <v>4627.68</v>
      </c>
      <c r="G94" s="15" t="n">
        <v>4596.52</v>
      </c>
      <c r="H94" s="15" t="n">
        <v>4590.29</v>
      </c>
      <c r="I94" s="15" t="n">
        <v>10</v>
      </c>
      <c r="J94" s="15" t="n">
        <v>4642.29</v>
      </c>
      <c r="K94" s="18" t="n">
        <v>-27070</v>
      </c>
      <c r="L94" s="15" t="n">
        <v>0.05</v>
      </c>
      <c r="M94" s="18" t="n">
        <v>-27070.05</v>
      </c>
      <c r="N94" s="17" t="n">
        <v>0</v>
      </c>
      <c r="O94" s="15" t="n">
        <v>0</v>
      </c>
      <c r="P94" s="18" t="inlineStr">
        <is>
          <t>LOSS</t>
        </is>
      </c>
      <c r="Q94" s="19" t="inlineStr"/>
    </row>
    <row r="95" ht="20" customHeight="1">
      <c r="A95" s="20" t="inlineStr">
        <is>
          <t>2026-08-26</t>
        </is>
      </c>
      <c r="B95" s="20" t="inlineStr">
        <is>
          <t>18:46:21</t>
        </is>
      </c>
      <c r="C95" s="21" t="inlineStr">
        <is>
          <t>S1 Asian Breakout</t>
        </is>
      </c>
      <c r="D95" s="22" t="inlineStr">
        <is>
          <t>SELL</t>
        </is>
      </c>
      <c r="E95" s="20" t="n">
        <v>4620.9</v>
      </c>
      <c r="F95" s="20" t="n">
        <v>4631.87</v>
      </c>
      <c r="G95" s="20" t="n">
        <v>4604.45</v>
      </c>
      <c r="H95" s="20" t="n">
        <v>4598.96</v>
      </c>
      <c r="I95" s="20" t="n">
        <v>10</v>
      </c>
      <c r="J95" s="20" t="n">
        <v>4599.85</v>
      </c>
      <c r="K95" s="23" t="n">
        <v>21050</v>
      </c>
      <c r="L95" s="20" t="n">
        <v>0.05</v>
      </c>
      <c r="M95" s="23" t="n">
        <v>21049.95</v>
      </c>
      <c r="N95" s="23" t="n">
        <v>0</v>
      </c>
      <c r="O95" s="20" t="n">
        <v>0</v>
      </c>
      <c r="P95" s="23" t="inlineStr">
        <is>
          <t>WIN</t>
        </is>
      </c>
      <c r="Q95" s="24" t="inlineStr"/>
    </row>
    <row r="96" ht="20" customHeight="1">
      <c r="A96" s="20" t="inlineStr">
        <is>
          <t>2026-08-26</t>
        </is>
      </c>
      <c r="B96" s="20" t="inlineStr">
        <is>
          <t>21:36:02</t>
        </is>
      </c>
      <c r="C96" s="23" t="inlineStr">
        <is>
          <t>S2 Goldmine</t>
        </is>
      </c>
      <c r="D96" s="22" t="inlineStr">
        <is>
          <t>SELL</t>
        </is>
      </c>
      <c r="E96" s="20" t="n">
        <v>4625.56</v>
      </c>
      <c r="F96" s="20" t="n">
        <v>4640.5</v>
      </c>
      <c r="G96" s="20" t="n">
        <v>4603.15</v>
      </c>
      <c r="H96" s="20" t="n">
        <v>4595.69</v>
      </c>
      <c r="I96" s="20" t="n">
        <v>10</v>
      </c>
      <c r="J96" s="20" t="n">
        <v>4601.18</v>
      </c>
      <c r="K96" s="23" t="n">
        <v>24380</v>
      </c>
      <c r="L96" s="20" t="n">
        <v>0.05</v>
      </c>
      <c r="M96" s="23" t="n">
        <v>24379.95</v>
      </c>
      <c r="N96" s="23" t="n">
        <v>0</v>
      </c>
      <c r="O96" s="20" t="n">
        <v>0</v>
      </c>
      <c r="P96" s="23" t="inlineStr">
        <is>
          <t>WIN</t>
        </is>
      </c>
      <c r="Q96" s="24" t="inlineStr"/>
    </row>
    <row r="97" ht="20" customHeight="1">
      <c r="A97" s="20" t="inlineStr">
        <is>
          <t>2026-08-27</t>
        </is>
      </c>
      <c r="B97" s="20" t="inlineStr">
        <is>
          <t>01:25:01</t>
        </is>
      </c>
      <c r="C97" s="21" t="inlineStr">
        <is>
          <t>S1 Asian Breakout</t>
        </is>
      </c>
      <c r="D97" s="22" t="inlineStr">
        <is>
          <t>SELL</t>
        </is>
      </c>
      <c r="E97" s="20" t="n">
        <v>4596.19</v>
      </c>
      <c r="F97" s="20" t="n">
        <v>4610.03</v>
      </c>
      <c r="G97" s="20" t="n">
        <v>4575.44</v>
      </c>
      <c r="H97" s="20" t="n">
        <v>4568.52</v>
      </c>
      <c r="I97" s="20" t="n">
        <v>10</v>
      </c>
      <c r="J97" s="20" t="n">
        <v>4594.15</v>
      </c>
      <c r="K97" s="23" t="n">
        <v>2040</v>
      </c>
      <c r="L97" s="20" t="n">
        <v>0.05</v>
      </c>
      <c r="M97" s="23" t="n">
        <v>2039.95</v>
      </c>
      <c r="N97" s="23" t="n">
        <v>0</v>
      </c>
      <c r="O97" s="20" t="n">
        <v>0</v>
      </c>
      <c r="P97" s="23" t="inlineStr">
        <is>
          <t>WIN</t>
        </is>
      </c>
      <c r="Q97" s="24" t="inlineStr"/>
    </row>
    <row r="98" ht="20" customHeight="1">
      <c r="A98" s="20" t="inlineStr">
        <is>
          <t>2026-09-02</t>
        </is>
      </c>
      <c r="B98" s="20" t="inlineStr">
        <is>
          <t>17:49:38</t>
        </is>
      </c>
      <c r="C98" s="21" t="inlineStr">
        <is>
          <t>S1 Asian Breakout</t>
        </is>
      </c>
      <c r="D98" s="22" t="inlineStr">
        <is>
          <t>SELL</t>
        </is>
      </c>
      <c r="E98" s="20" t="n">
        <v>4338.5</v>
      </c>
      <c r="F98" s="20" t="n">
        <v>4351.83</v>
      </c>
      <c r="G98" s="20" t="n">
        <v>4318.52</v>
      </c>
      <c r="H98" s="20" t="n">
        <v>4311.85</v>
      </c>
      <c r="I98" s="20" t="n">
        <v>10</v>
      </c>
      <c r="J98" s="20" t="n">
        <v>4333.38</v>
      </c>
      <c r="K98" s="23" t="n">
        <v>5125</v>
      </c>
      <c r="L98" s="20" t="n">
        <v>0.05</v>
      </c>
      <c r="M98" s="23" t="n">
        <v>5124.95</v>
      </c>
      <c r="N98" s="23" t="n">
        <v>0</v>
      </c>
      <c r="O98" s="20" t="n">
        <v>0</v>
      </c>
      <c r="P98" s="23" t="inlineStr">
        <is>
          <t>WIN</t>
        </is>
      </c>
      <c r="Q98" s="24" t="inlineStr"/>
    </row>
    <row r="99" ht="20" customHeight="1">
      <c r="A99" s="20" t="inlineStr">
        <is>
          <t>2026-09-02</t>
        </is>
      </c>
      <c r="B99" s="20" t="inlineStr">
        <is>
          <t>19:13:31</t>
        </is>
      </c>
      <c r="C99" s="21" t="inlineStr">
        <is>
          <t>S1 Asian Breakout</t>
        </is>
      </c>
      <c r="D99" s="23" t="inlineStr">
        <is>
          <t>BUY</t>
        </is>
      </c>
      <c r="E99" s="20" t="n">
        <v>4346.71</v>
      </c>
      <c r="F99" s="20" t="n">
        <v>4332.26</v>
      </c>
      <c r="G99" s="20" t="n">
        <v>4368.39</v>
      </c>
      <c r="H99" s="20" t="n">
        <v>4375.61</v>
      </c>
      <c r="I99" s="20" t="n">
        <v>10</v>
      </c>
      <c r="J99" s="20" t="n">
        <v>4369.93</v>
      </c>
      <c r="K99" s="23" t="n">
        <v>23215</v>
      </c>
      <c r="L99" s="20" t="n">
        <v>0.05</v>
      </c>
      <c r="M99" s="23" t="n">
        <v>23214.95</v>
      </c>
      <c r="N99" s="23" t="n">
        <v>0</v>
      </c>
      <c r="O99" s="20" t="n">
        <v>0</v>
      </c>
      <c r="P99" s="23" t="inlineStr">
        <is>
          <t>WIN</t>
        </is>
      </c>
      <c r="Q99" s="24" t="inlineStr"/>
    </row>
    <row r="100" ht="20" customHeight="1">
      <c r="A100" s="20" t="inlineStr">
        <is>
          <t>2026-09-09</t>
        </is>
      </c>
      <c r="B100" s="20" t="inlineStr">
        <is>
          <t>18:01:21</t>
        </is>
      </c>
      <c r="C100" s="21" t="inlineStr">
        <is>
          <t>S1 Asian Breakout</t>
        </is>
      </c>
      <c r="D100" s="22" t="inlineStr">
        <is>
          <t>SELL</t>
        </is>
      </c>
      <c r="E100" s="20" t="n">
        <v>4403.06</v>
      </c>
      <c r="F100" s="20" t="n">
        <v>4418.67</v>
      </c>
      <c r="G100" s="20" t="n">
        <v>4379.65</v>
      </c>
      <c r="H100" s="20" t="n">
        <v>4371.85</v>
      </c>
      <c r="I100" s="20" t="n">
        <v>10</v>
      </c>
      <c r="J100" s="20" t="n">
        <v>4393.82</v>
      </c>
      <c r="K100" s="23" t="n">
        <v>9235</v>
      </c>
      <c r="L100" s="20" t="n">
        <v>0.05</v>
      </c>
      <c r="M100" s="23" t="n">
        <v>9234.950000000001</v>
      </c>
      <c r="N100" s="23" t="n">
        <v>0</v>
      </c>
      <c r="O100" s="20" t="n">
        <v>0</v>
      </c>
      <c r="P100" s="23" t="inlineStr">
        <is>
          <t>WIN</t>
        </is>
      </c>
      <c r="Q100" s="24" t="inlineStr"/>
    </row>
    <row r="101" ht="20" customHeight="1">
      <c r="A101" s="15" t="inlineStr">
        <is>
          <t>2026-09-09</t>
        </is>
      </c>
      <c r="B101" s="15" t="inlineStr">
        <is>
          <t>22:33:12</t>
        </is>
      </c>
      <c r="C101" s="16" t="inlineStr">
        <is>
          <t>S3 Silver Bullet</t>
        </is>
      </c>
      <c r="D101" s="18" t="inlineStr">
        <is>
          <t>SELL</t>
        </is>
      </c>
      <c r="E101" s="15" t="n">
        <v>4391.73</v>
      </c>
      <c r="F101" s="15" t="n">
        <v>4414.3</v>
      </c>
      <c r="G101" s="15" t="n">
        <v>4357.86</v>
      </c>
      <c r="H101" s="15" t="n">
        <v>4346.57</v>
      </c>
      <c r="I101" s="15" t="n">
        <v>10</v>
      </c>
      <c r="J101" s="15" t="n">
        <v>4413.43</v>
      </c>
      <c r="K101" s="18" t="n">
        <v>-21705</v>
      </c>
      <c r="L101" s="15" t="n">
        <v>0.05</v>
      </c>
      <c r="M101" s="18" t="n">
        <v>-21705.05</v>
      </c>
      <c r="N101" s="17" t="n">
        <v>0</v>
      </c>
      <c r="O101" s="15" t="n">
        <v>0</v>
      </c>
      <c r="P101" s="18" t="inlineStr">
        <is>
          <t>LOSS</t>
        </is>
      </c>
      <c r="Q101" s="19" t="inlineStr"/>
    </row>
    <row r="102" ht="20" customHeight="1">
      <c r="A102" s="20" t="inlineStr">
        <is>
          <t>2026-09-15</t>
        </is>
      </c>
      <c r="B102" s="20" t="inlineStr">
        <is>
          <t>18:25:55</t>
        </is>
      </c>
      <c r="C102" s="21" t="inlineStr">
        <is>
          <t>S1 Asian Breakout</t>
        </is>
      </c>
      <c r="D102" s="22" t="inlineStr">
        <is>
          <t>SELL</t>
        </is>
      </c>
      <c r="E102" s="20" t="n">
        <v>4348.55</v>
      </c>
      <c r="F102" s="20" t="n">
        <v>4362.53</v>
      </c>
      <c r="G102" s="20" t="n">
        <v>4327.56</v>
      </c>
      <c r="H102" s="20" t="n">
        <v>4320.57</v>
      </c>
      <c r="I102" s="20" t="n">
        <v>10</v>
      </c>
      <c r="J102" s="20" t="n">
        <v>4292.36</v>
      </c>
      <c r="K102" s="23" t="n">
        <v>56180</v>
      </c>
      <c r="L102" s="20" t="n">
        <v>0.05</v>
      </c>
      <c r="M102" s="23" t="n">
        <v>56179.95</v>
      </c>
      <c r="N102" s="23" t="n">
        <v>0</v>
      </c>
      <c r="O102" s="20" t="n">
        <v>0</v>
      </c>
      <c r="P102" s="23" t="inlineStr">
        <is>
          <t>WIN</t>
        </is>
      </c>
      <c r="Q102" s="24" t="inlineStr"/>
    </row>
    <row r="103" ht="20" customHeight="1">
      <c r="A103" s="15" t="inlineStr">
        <is>
          <t>2026-09-15</t>
        </is>
      </c>
      <c r="B103" s="15" t="inlineStr">
        <is>
          <t>21:26:27</t>
        </is>
      </c>
      <c r="C103" s="25" t="inlineStr">
        <is>
          <t>S1 Asian Breakout</t>
        </is>
      </c>
      <c r="D103" s="18" t="inlineStr">
        <is>
          <t>SELL</t>
        </is>
      </c>
      <c r="E103" s="15" t="n">
        <v>4282.04</v>
      </c>
      <c r="F103" s="15" t="n">
        <v>4294.8</v>
      </c>
      <c r="G103" s="15" t="n">
        <v>4262.89</v>
      </c>
      <c r="H103" s="15" t="n">
        <v>4256.51</v>
      </c>
      <c r="I103" s="15" t="n">
        <v>10</v>
      </c>
      <c r="J103" s="15" t="n">
        <v>4291.97</v>
      </c>
      <c r="K103" s="18" t="n">
        <v>-9925</v>
      </c>
      <c r="L103" s="15" t="n">
        <v>0.05</v>
      </c>
      <c r="M103" s="18" t="n">
        <v>-9925.049999999999</v>
      </c>
      <c r="N103" s="17" t="n">
        <v>0</v>
      </c>
      <c r="O103" s="15" t="n">
        <v>0</v>
      </c>
      <c r="P103" s="18" t="inlineStr">
        <is>
          <t>LOSS</t>
        </is>
      </c>
      <c r="Q103" s="19" t="inlineStr"/>
    </row>
    <row r="104" ht="20" customHeight="1">
      <c r="A104" s="15" t="inlineStr">
        <is>
          <t>2026-09-16</t>
        </is>
      </c>
      <c r="B104" s="15" t="inlineStr">
        <is>
          <t>23:31:33</t>
        </is>
      </c>
      <c r="C104" s="16" t="inlineStr">
        <is>
          <t>S3 Silver Bullet</t>
        </is>
      </c>
      <c r="D104" s="17" t="inlineStr">
        <is>
          <t>BUY</t>
        </is>
      </c>
      <c r="E104" s="15" t="n">
        <v>4350.74</v>
      </c>
      <c r="F104" s="15" t="n">
        <v>4334.47</v>
      </c>
      <c r="G104" s="15" t="n">
        <v>4375.15</v>
      </c>
      <c r="H104" s="15" t="n">
        <v>4383.28</v>
      </c>
      <c r="I104" s="15" t="n">
        <v>10</v>
      </c>
      <c r="J104" s="15" t="n">
        <v>4331.05</v>
      </c>
      <c r="K104" s="18" t="n">
        <v>-19690</v>
      </c>
      <c r="L104" s="15" t="n">
        <v>0.05</v>
      </c>
      <c r="M104" s="18" t="n">
        <v>-19690.05</v>
      </c>
      <c r="N104" s="17" t="n">
        <v>0</v>
      </c>
      <c r="O104" s="15" t="n">
        <v>0</v>
      </c>
      <c r="P104" s="18" t="inlineStr">
        <is>
          <t>LOSS</t>
        </is>
      </c>
      <c r="Q104" s="19" t="inlineStr"/>
    </row>
    <row r="105" ht="20" customHeight="1">
      <c r="A105" s="15" t="inlineStr">
        <is>
          <t>2026-09-18</t>
        </is>
      </c>
      <c r="B105" s="15" t="inlineStr">
        <is>
          <t>00:05:16</t>
        </is>
      </c>
      <c r="C105" s="25" t="inlineStr">
        <is>
          <t>S1 Asian Breakout</t>
        </is>
      </c>
      <c r="D105" s="17" t="inlineStr">
        <is>
          <t>BUY</t>
        </is>
      </c>
      <c r="E105" s="15" t="n">
        <v>4368.85</v>
      </c>
      <c r="F105" s="15" t="n">
        <v>4350.13</v>
      </c>
      <c r="G105" s="15" t="n">
        <v>4396.91</v>
      </c>
      <c r="H105" s="15" t="n">
        <v>4406.27</v>
      </c>
      <c r="I105" s="15" t="n">
        <v>10</v>
      </c>
      <c r="J105" s="15" t="n">
        <v>4349.72</v>
      </c>
      <c r="K105" s="18" t="n">
        <v>-19130</v>
      </c>
      <c r="L105" s="15" t="n">
        <v>0.05</v>
      </c>
      <c r="M105" s="18" t="n">
        <v>-19130.05</v>
      </c>
      <c r="N105" s="17" t="n">
        <v>0</v>
      </c>
      <c r="O105" s="15" t="n">
        <v>0</v>
      </c>
      <c r="P105" s="18" t="inlineStr">
        <is>
          <t>LOSS</t>
        </is>
      </c>
      <c r="Q105" s="19" t="inlineStr"/>
    </row>
    <row r="106" ht="20" customHeight="1">
      <c r="A106" s="15" t="inlineStr">
        <is>
          <t>2026-09-22</t>
        </is>
      </c>
      <c r="B106" s="15" t="inlineStr">
        <is>
          <t>23:25:23</t>
        </is>
      </c>
      <c r="C106" s="25" t="inlineStr">
        <is>
          <t>S1 Asian Breakout</t>
        </is>
      </c>
      <c r="D106" s="18" t="inlineStr">
        <is>
          <t>SELL</t>
        </is>
      </c>
      <c r="E106" s="15" t="n">
        <v>4337.46</v>
      </c>
      <c r="F106" s="15" t="n">
        <v>4350.83</v>
      </c>
      <c r="G106" s="15" t="n">
        <v>4317.4</v>
      </c>
      <c r="H106" s="15" t="n">
        <v>4310.71</v>
      </c>
      <c r="I106" s="15" t="n">
        <v>10</v>
      </c>
      <c r="J106" s="15" t="n">
        <v>4349.03</v>
      </c>
      <c r="K106" s="18" t="n">
        <v>-11570</v>
      </c>
      <c r="L106" s="15" t="n">
        <v>0.05</v>
      </c>
      <c r="M106" s="18" t="n">
        <v>-11570.05</v>
      </c>
      <c r="N106" s="17" t="n">
        <v>0</v>
      </c>
      <c r="O106" s="15" t="n">
        <v>0</v>
      </c>
      <c r="P106" s="18" t="inlineStr">
        <is>
          <t>LOSS</t>
        </is>
      </c>
      <c r="Q106" s="19" t="inlineStr"/>
    </row>
    <row r="107" ht="20" customHeight="1">
      <c r="A107" s="20" t="inlineStr">
        <is>
          <t>2026-09-24</t>
        </is>
      </c>
      <c r="B107" s="20" t="inlineStr">
        <is>
          <t>18:27:09</t>
        </is>
      </c>
      <c r="C107" s="21" t="inlineStr">
        <is>
          <t>S1 Asian Breakout</t>
        </is>
      </c>
      <c r="D107" s="22" t="inlineStr">
        <is>
          <t>SELL</t>
        </is>
      </c>
      <c r="E107" s="20" t="n">
        <v>4289.75</v>
      </c>
      <c r="F107" s="20" t="n">
        <v>4302.26</v>
      </c>
      <c r="G107" s="20" t="n">
        <v>4270.99</v>
      </c>
      <c r="H107" s="20" t="n">
        <v>4264.74</v>
      </c>
      <c r="I107" s="20" t="n">
        <v>10</v>
      </c>
      <c r="J107" s="20" t="n">
        <v>4281.98</v>
      </c>
      <c r="K107" s="23" t="n">
        <v>7770</v>
      </c>
      <c r="L107" s="20" t="n">
        <v>0.05</v>
      </c>
      <c r="M107" s="23" t="n">
        <v>7769.95</v>
      </c>
      <c r="N107" s="23" t="n">
        <v>0</v>
      </c>
      <c r="O107" s="20" t="n">
        <v>0</v>
      </c>
      <c r="P107" s="23" t="inlineStr">
        <is>
          <t>WIN</t>
        </is>
      </c>
      <c r="Q107" s="24" t="inlineStr"/>
    </row>
    <row r="108" ht="20" customHeight="1">
      <c r="A108" s="20" t="inlineStr">
        <is>
          <t>2026-09-24</t>
        </is>
      </c>
      <c r="B108" s="20" t="inlineStr">
        <is>
          <t>20:43:28</t>
        </is>
      </c>
      <c r="C108" s="21" t="inlineStr">
        <is>
          <t>S1 Asian Breakout</t>
        </is>
      </c>
      <c r="D108" s="22" t="inlineStr">
        <is>
          <t>SELL</t>
        </is>
      </c>
      <c r="E108" s="20" t="n">
        <v>4273.58</v>
      </c>
      <c r="F108" s="20" t="n">
        <v>4286.9</v>
      </c>
      <c r="G108" s="20" t="n">
        <v>4253.61</v>
      </c>
      <c r="H108" s="20" t="n">
        <v>4246.95</v>
      </c>
      <c r="I108" s="20" t="n">
        <v>10</v>
      </c>
      <c r="J108" s="20" t="n">
        <v>4247.2</v>
      </c>
      <c r="K108" s="23" t="n">
        <v>26380</v>
      </c>
      <c r="L108" s="20" t="n">
        <v>0.05</v>
      </c>
      <c r="M108" s="23" t="n">
        <v>26379.95</v>
      </c>
      <c r="N108" s="23" t="n">
        <v>0</v>
      </c>
      <c r="O108" s="20" t="n">
        <v>0</v>
      </c>
      <c r="P108" s="23" t="inlineStr">
        <is>
          <t>WIN</t>
        </is>
      </c>
      <c r="Q108" s="24" t="inlineStr"/>
    </row>
    <row r="109" ht="20" customHeight="1">
      <c r="A109" s="20" t="inlineStr">
        <is>
          <t>2026-09-30</t>
        </is>
      </c>
      <c r="B109" s="20" t="inlineStr">
        <is>
          <t>01:13:05</t>
        </is>
      </c>
      <c r="C109" s="21" t="inlineStr">
        <is>
          <t>S1 Asian Breakout</t>
        </is>
      </c>
      <c r="D109" s="23" t="inlineStr">
        <is>
          <t>BUY</t>
        </is>
      </c>
      <c r="E109" s="20" t="n">
        <v>4166.09</v>
      </c>
      <c r="F109" s="20" t="n">
        <v>4153.3</v>
      </c>
      <c r="G109" s="20" t="n">
        <v>4185.28</v>
      </c>
      <c r="H109" s="20" t="n">
        <v>4191.67</v>
      </c>
      <c r="I109" s="20" t="n">
        <v>10</v>
      </c>
      <c r="J109" s="20" t="n">
        <v>4171.41</v>
      </c>
      <c r="K109" s="23" t="n">
        <v>5320</v>
      </c>
      <c r="L109" s="20" t="n">
        <v>0.05</v>
      </c>
      <c r="M109" s="23" t="n">
        <v>5319.95</v>
      </c>
      <c r="N109" s="23" t="n">
        <v>0</v>
      </c>
      <c r="O109" s="20" t="n">
        <v>0</v>
      </c>
      <c r="P109" s="23" t="inlineStr">
        <is>
          <t>WIN</t>
        </is>
      </c>
      <c r="Q109" s="24" t="inlineStr"/>
    </row>
    <row r="110" ht="20" customHeight="1">
      <c r="A110" s="15" t="inlineStr">
        <is>
          <t>2026-10-01</t>
        </is>
      </c>
      <c r="B110" s="15" t="inlineStr">
        <is>
          <t>01:25:01</t>
        </is>
      </c>
      <c r="C110" s="16" t="inlineStr">
        <is>
          <t>S3 Silver Bullet</t>
        </is>
      </c>
      <c r="D110" s="18" t="inlineStr">
        <is>
          <t>SELL</t>
        </is>
      </c>
      <c r="E110" s="15" t="n">
        <v>4154.27</v>
      </c>
      <c r="F110" s="15" t="n">
        <v>4162.31</v>
      </c>
      <c r="G110" s="15" t="n">
        <v>4142.22</v>
      </c>
      <c r="H110" s="15" t="n">
        <v>4138.2</v>
      </c>
      <c r="I110" s="15" t="n">
        <v>10</v>
      </c>
      <c r="J110" s="15" t="n">
        <v>4155.29</v>
      </c>
      <c r="K110" s="18" t="n">
        <v>-1015</v>
      </c>
      <c r="L110" s="15" t="n">
        <v>0.05</v>
      </c>
      <c r="M110" s="18" t="n">
        <v>-1015.05</v>
      </c>
      <c r="N110" s="17" t="n">
        <v>0</v>
      </c>
      <c r="O110" s="15" t="n">
        <v>0</v>
      </c>
      <c r="P110" s="18" t="inlineStr">
        <is>
          <t>LOSS</t>
        </is>
      </c>
      <c r="Q110" s="19" t="inlineStr"/>
    </row>
    <row r="111" ht="20" customHeight="1">
      <c r="A111" s="20" t="inlineStr">
        <is>
          <t>2026-10-02</t>
        </is>
      </c>
      <c r="B111" s="20" t="inlineStr">
        <is>
          <t>01:25:01</t>
        </is>
      </c>
      <c r="C111" s="21" t="inlineStr">
        <is>
          <t>S1 Asian Breakout</t>
        </is>
      </c>
      <c r="D111" s="23" t="inlineStr">
        <is>
          <t>BUY</t>
        </is>
      </c>
      <c r="E111" s="20" t="n">
        <v>4165.59</v>
      </c>
      <c r="F111" s="20" t="n">
        <v>4149.96</v>
      </c>
      <c r="G111" s="20" t="n">
        <v>4189.02</v>
      </c>
      <c r="H111" s="20" t="n">
        <v>4196.84</v>
      </c>
      <c r="I111" s="20" t="n">
        <v>10</v>
      </c>
      <c r="J111" s="20" t="n">
        <v>4176.26</v>
      </c>
      <c r="K111" s="23" t="n">
        <v>10675</v>
      </c>
      <c r="L111" s="20" t="n">
        <v>0.05</v>
      </c>
      <c r="M111" s="23" t="n">
        <v>10674.95</v>
      </c>
      <c r="N111" s="23" t="n">
        <v>0</v>
      </c>
      <c r="O111" s="20" t="n">
        <v>0</v>
      </c>
      <c r="P111" s="23" t="inlineStr">
        <is>
          <t>WIN</t>
        </is>
      </c>
      <c r="Q111" s="24" t="inlineStr"/>
    </row>
    <row r="112" ht="20" customHeight="1">
      <c r="A112" s="20" t="inlineStr">
        <is>
          <t>2026-10-07</t>
        </is>
      </c>
      <c r="B112" s="20" t="inlineStr">
        <is>
          <t>00:27:08</t>
        </is>
      </c>
      <c r="C112" s="21" t="inlineStr">
        <is>
          <t>S1 Asian Breakout</t>
        </is>
      </c>
      <c r="D112" s="23" t="inlineStr">
        <is>
          <t>BUY</t>
        </is>
      </c>
      <c r="E112" s="20" t="n">
        <v>4152.81</v>
      </c>
      <c r="F112" s="20" t="n">
        <v>4141.29</v>
      </c>
      <c r="G112" s="20" t="n">
        <v>4170.09</v>
      </c>
      <c r="H112" s="20" t="n">
        <v>4175.85</v>
      </c>
      <c r="I112" s="20" t="n">
        <v>10</v>
      </c>
      <c r="J112" s="20" t="n">
        <v>4176.6</v>
      </c>
      <c r="K112" s="23" t="n">
        <v>23785</v>
      </c>
      <c r="L112" s="20" t="n">
        <v>0.05</v>
      </c>
      <c r="M112" s="23" t="n">
        <v>23784.95</v>
      </c>
      <c r="N112" s="23" t="n">
        <v>0</v>
      </c>
      <c r="O112" s="20" t="n">
        <v>0</v>
      </c>
      <c r="P112" s="23" t="inlineStr">
        <is>
          <t>WIN</t>
        </is>
      </c>
      <c r="Q112" s="24" t="inlineStr"/>
    </row>
    <row r="113" ht="20" customHeight="1">
      <c r="A113" s="15" t="inlineStr">
        <is>
          <t>2026-10-07</t>
        </is>
      </c>
      <c r="B113" s="15" t="inlineStr">
        <is>
          <t>01:19:47</t>
        </is>
      </c>
      <c r="C113" s="25" t="inlineStr">
        <is>
          <t>S1 Asian Breakout</t>
        </is>
      </c>
      <c r="D113" s="17" t="inlineStr">
        <is>
          <t>BUY</t>
        </is>
      </c>
      <c r="E113" s="15" t="n">
        <v>4176.11</v>
      </c>
      <c r="F113" s="15" t="n">
        <v>4167.61</v>
      </c>
      <c r="G113" s="15" t="n">
        <v>4188.86</v>
      </c>
      <c r="H113" s="15" t="n">
        <v>4193.11</v>
      </c>
      <c r="I113" s="15" t="n">
        <v>10</v>
      </c>
      <c r="J113" s="15" t="n">
        <v>4167.7</v>
      </c>
      <c r="K113" s="18" t="n">
        <v>-8410</v>
      </c>
      <c r="L113" s="15" t="n">
        <v>0.05</v>
      </c>
      <c r="M113" s="18" t="n">
        <v>-8410.049999999999</v>
      </c>
      <c r="N113" s="17" t="n">
        <v>0</v>
      </c>
      <c r="O113" s="15" t="n">
        <v>0</v>
      </c>
      <c r="P113" s="18" t="inlineStr">
        <is>
          <t>LOSS</t>
        </is>
      </c>
      <c r="Q113" s="19" t="inlineStr"/>
    </row>
    <row r="114" ht="20" customHeight="1">
      <c r="A114" s="15" t="inlineStr">
        <is>
          <t>2026-10-08</t>
        </is>
      </c>
      <c r="B114" s="15" t="inlineStr">
        <is>
          <t>01:25:01</t>
        </is>
      </c>
      <c r="C114" s="16" t="inlineStr">
        <is>
          <t>S3 Silver Bullet</t>
        </is>
      </c>
      <c r="D114" s="17" t="inlineStr">
        <is>
          <t>BUY</t>
        </is>
      </c>
      <c r="E114" s="15" t="n">
        <v>4102.65</v>
      </c>
      <c r="F114" s="15" t="n">
        <v>4083.42</v>
      </c>
      <c r="G114" s="15" t="n">
        <v>4131.48</v>
      </c>
      <c r="H114" s="15" t="n">
        <v>4141.09</v>
      </c>
      <c r="I114" s="15" t="n">
        <v>10</v>
      </c>
      <c r="J114" s="15" t="n">
        <v>4101.44</v>
      </c>
      <c r="K114" s="18" t="n">
        <v>-1205</v>
      </c>
      <c r="L114" s="15" t="n">
        <v>0.05</v>
      </c>
      <c r="M114" s="18" t="n">
        <v>-1205.05</v>
      </c>
      <c r="N114" s="17" t="n">
        <v>0</v>
      </c>
      <c r="O114" s="15" t="n">
        <v>0</v>
      </c>
      <c r="P114" s="18" t="inlineStr">
        <is>
          <t>LOSS</t>
        </is>
      </c>
      <c r="Q114" s="19" t="inlineStr"/>
    </row>
    <row r="115" ht="20" customHeight="1">
      <c r="A115" s="15" t="inlineStr">
        <is>
          <t>2026-10-08</t>
        </is>
      </c>
      <c r="B115" s="15" t="inlineStr">
        <is>
          <t>01:56:34</t>
        </is>
      </c>
      <c r="C115" s="25" t="inlineStr">
        <is>
          <t>S1 Asian Breakout</t>
        </is>
      </c>
      <c r="D115" s="18" t="inlineStr">
        <is>
          <t>SELL</t>
        </is>
      </c>
      <c r="E115" s="15" t="n">
        <v>4100.99</v>
      </c>
      <c r="F115" s="15" t="n">
        <v>4111.37</v>
      </c>
      <c r="G115" s="15" t="n">
        <v>4085.42</v>
      </c>
      <c r="H115" s="15" t="n">
        <v>4080.24</v>
      </c>
      <c r="I115" s="15" t="n">
        <v>10</v>
      </c>
      <c r="J115" s="15" t="n">
        <v>4111.78</v>
      </c>
      <c r="K115" s="18" t="n">
        <v>-10790</v>
      </c>
      <c r="L115" s="15" t="n">
        <v>0.05</v>
      </c>
      <c r="M115" s="18" t="n">
        <v>-10790.05</v>
      </c>
      <c r="N115" s="17" t="n">
        <v>0</v>
      </c>
      <c r="O115" s="15" t="n">
        <v>0</v>
      </c>
      <c r="P115" s="18" t="inlineStr">
        <is>
          <t>LOSS</t>
        </is>
      </c>
      <c r="Q115" s="19" t="inlineStr"/>
    </row>
    <row r="116" ht="20" customHeight="1">
      <c r="A116" s="15" t="inlineStr">
        <is>
          <t>2026-10-08</t>
        </is>
      </c>
      <c r="B116" s="15" t="inlineStr">
        <is>
          <t>23:20:30</t>
        </is>
      </c>
      <c r="C116" s="25" t="inlineStr">
        <is>
          <t>S1 Asian Breakout</t>
        </is>
      </c>
      <c r="D116" s="17" t="inlineStr">
        <is>
          <t>BUY</t>
        </is>
      </c>
      <c r="E116" s="15" t="n">
        <v>4143.68</v>
      </c>
      <c r="F116" s="15" t="n">
        <v>4128.14</v>
      </c>
      <c r="G116" s="15" t="n">
        <v>4166.99</v>
      </c>
      <c r="H116" s="15" t="n">
        <v>4174.77</v>
      </c>
      <c r="I116" s="15" t="n">
        <v>10</v>
      </c>
      <c r="J116" s="15" t="n">
        <v>4128.35</v>
      </c>
      <c r="K116" s="18" t="n">
        <v>-15325</v>
      </c>
      <c r="L116" s="15" t="n">
        <v>0.05</v>
      </c>
      <c r="M116" s="18" t="n">
        <v>-15325.05</v>
      </c>
      <c r="N116" s="17" t="n">
        <v>0</v>
      </c>
      <c r="O116" s="15" t="n">
        <v>0</v>
      </c>
      <c r="P116" s="18" t="inlineStr">
        <is>
          <t>LOSS</t>
        </is>
      </c>
      <c r="Q116" s="19" t="inlineStr"/>
    </row>
    <row r="117" ht="20" customHeight="1">
      <c r="A117" s="15" t="inlineStr">
        <is>
          <t>2026-10-13</t>
        </is>
      </c>
      <c r="B117" s="15" t="inlineStr">
        <is>
          <t>23:37:02</t>
        </is>
      </c>
      <c r="C117" s="25" t="inlineStr">
        <is>
          <t>S1 Asian Breakout</t>
        </is>
      </c>
      <c r="D117" s="18" t="inlineStr">
        <is>
          <t>SELL</t>
        </is>
      </c>
      <c r="E117" s="15" t="n">
        <v>4149.99</v>
      </c>
      <c r="F117" s="15" t="n">
        <v>4158.13</v>
      </c>
      <c r="G117" s="15" t="n">
        <v>4137.79</v>
      </c>
      <c r="H117" s="15" t="n">
        <v>4133.72</v>
      </c>
      <c r="I117" s="15" t="n">
        <v>10</v>
      </c>
      <c r="J117" s="15" t="n">
        <v>4158.92</v>
      </c>
      <c r="K117" s="18" t="n">
        <v>-8925</v>
      </c>
      <c r="L117" s="15" t="n">
        <v>0.05</v>
      </c>
      <c r="M117" s="18" t="n">
        <v>-8925.049999999999</v>
      </c>
      <c r="N117" s="17" t="n">
        <v>0</v>
      </c>
      <c r="O117" s="15" t="n">
        <v>0</v>
      </c>
      <c r="P117" s="18" t="inlineStr">
        <is>
          <t>LOSS</t>
        </is>
      </c>
      <c r="Q117" s="19" t="inlineStr"/>
    </row>
    <row r="118" ht="20" customHeight="1">
      <c r="A118" s="15" t="inlineStr">
        <is>
          <t>2026-10-15</t>
        </is>
      </c>
      <c r="B118" s="15" t="inlineStr">
        <is>
          <t>19:37:15</t>
        </is>
      </c>
      <c r="C118" s="25" t="inlineStr">
        <is>
          <t>S1 Asian Breakout</t>
        </is>
      </c>
      <c r="D118" s="17" t="inlineStr">
        <is>
          <t>BUY</t>
        </is>
      </c>
      <c r="E118" s="15" t="n">
        <v>4161.4</v>
      </c>
      <c r="F118" s="15" t="n">
        <v>4149.26</v>
      </c>
      <c r="G118" s="15" t="n">
        <v>4179.6</v>
      </c>
      <c r="H118" s="15" t="n">
        <v>4185.67</v>
      </c>
      <c r="I118" s="15" t="n">
        <v>10</v>
      </c>
      <c r="J118" s="15" t="n">
        <v>4150.32</v>
      </c>
      <c r="K118" s="18" t="n">
        <v>-11080</v>
      </c>
      <c r="L118" s="15" t="n">
        <v>0.05</v>
      </c>
      <c r="M118" s="18" t="n">
        <v>-11080.05</v>
      </c>
      <c r="N118" s="17" t="n">
        <v>0</v>
      </c>
      <c r="O118" s="15" t="n">
        <v>0</v>
      </c>
      <c r="P118" s="18" t="inlineStr">
        <is>
          <t>LOSS</t>
        </is>
      </c>
      <c r="Q118" s="19" t="inlineStr"/>
    </row>
    <row r="119" ht="20" customHeight="1">
      <c r="A119" s="15" t="inlineStr">
        <is>
          <t>2026-10-20</t>
        </is>
      </c>
      <c r="B119" s="15" t="inlineStr">
        <is>
          <t>19:09:54</t>
        </is>
      </c>
      <c r="C119" s="25" t="inlineStr">
        <is>
          <t>S1 Asian Breakout</t>
        </is>
      </c>
      <c r="D119" s="18" t="inlineStr">
        <is>
          <t>SELL</t>
        </is>
      </c>
      <c r="E119" s="15" t="n">
        <v>4115.24</v>
      </c>
      <c r="F119" s="15" t="n">
        <v>4126.37</v>
      </c>
      <c r="G119" s="15" t="n">
        <v>4098.54</v>
      </c>
      <c r="H119" s="15" t="n">
        <v>4092.98</v>
      </c>
      <c r="I119" s="15" t="n">
        <v>10</v>
      </c>
      <c r="J119" s="15" t="n">
        <v>4127.15</v>
      </c>
      <c r="K119" s="18" t="n">
        <v>-11915</v>
      </c>
      <c r="L119" s="15" t="n">
        <v>0.05</v>
      </c>
      <c r="M119" s="18" t="n">
        <v>-11915.05</v>
      </c>
      <c r="N119" s="17" t="n">
        <v>0</v>
      </c>
      <c r="O119" s="15" t="n">
        <v>0</v>
      </c>
      <c r="P119" s="18" t="inlineStr">
        <is>
          <t>LOSS</t>
        </is>
      </c>
      <c r="Q119" s="19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B800"/>
    <outlinePr summaryBelow="1" summaryRight="1"/>
    <pageSetUpPr/>
  </sheetPr>
  <dimension ref="A1:Q1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0" customWidth="1" min="10" max="10"/>
    <col width="13" customWidth="1" min="11" max="11"/>
    <col width="12" customWidth="1" min="12" max="12"/>
    <col width="12" customWidth="1" min="13" max="13"/>
    <col width="14" customWidth="1" min="14" max="14"/>
    <col width="14" customWidth="1" min="15" max="15"/>
    <col width="8" customWidth="1" min="16" max="16"/>
    <col width="22" customWidth="1" min="17" max="17"/>
  </cols>
  <sheetData>
    <row r="1" ht="34" customHeight="1">
      <c r="A1" s="1" t="inlineStr">
        <is>
          <t>⚡  XAUUSD BOT — S1 ASIAN BREAKOUT</t>
        </is>
      </c>
    </row>
    <row r="2" ht="16" customHeight="1">
      <c r="A2" s="2" t="inlineStr">
        <is>
          <t>Asian Range Breakout | Goldmine | Silver Bullet | ATR SL | 1:2 R:R | Capital.com Demo</t>
        </is>
      </c>
    </row>
    <row r="3" ht="28" customHeight="1">
      <c r="A3" s="3" t="inlineStr">
        <is>
          <t>Date</t>
        </is>
      </c>
      <c r="B3" s="3" t="inlineStr">
        <is>
          <t>Time (IST)</t>
        </is>
      </c>
      <c r="C3" s="3" t="inlineStr">
        <is>
          <t>Strategy</t>
        </is>
      </c>
      <c r="D3" s="3" t="inlineStr">
        <is>
          <t>Direction</t>
        </is>
      </c>
      <c r="E3" s="3" t="inlineStr">
        <is>
          <t>Entry ($)</t>
        </is>
      </c>
      <c r="F3" s="3" t="inlineStr">
        <is>
          <t>SL ($)</t>
        </is>
      </c>
      <c r="G3" s="3" t="inlineStr">
        <is>
          <t>TP1 ($)</t>
        </is>
      </c>
      <c r="H3" s="3" t="inlineStr">
        <is>
          <t>TP2 ($)</t>
        </is>
      </c>
      <c r="I3" s="3" t="inlineStr">
        <is>
          <t>Size (oz)</t>
        </is>
      </c>
      <c r="J3" s="3" t="inlineStr">
        <is>
          <t>Exit ($)</t>
        </is>
      </c>
      <c r="K3" s="3" t="inlineStr">
        <is>
          <t>Gross P&amp;L ($)</t>
        </is>
      </c>
      <c r="L3" s="3" t="inlineStr">
        <is>
          <t>Commission ($)</t>
        </is>
      </c>
      <c r="M3" s="3" t="inlineStr">
        <is>
          <t>Net P&amp;L ($)</t>
        </is>
      </c>
      <c r="N3" s="3" t="inlineStr">
        <is>
          <t>Cumul. P&amp;L ($)</t>
        </is>
      </c>
      <c r="O3" s="3" t="inlineStr">
        <is>
          <t>Equity ($)</t>
        </is>
      </c>
      <c r="P3" s="3" t="inlineStr">
        <is>
          <t>Result</t>
        </is>
      </c>
      <c r="Q3" s="3" t="inlineStr">
        <is>
          <t>Notes</t>
        </is>
      </c>
    </row>
    <row r="4" ht="20" customHeight="1">
      <c r="A4" s="20" t="inlineStr">
        <is>
          <t>2026-03-27</t>
        </is>
      </c>
      <c r="B4" s="20" t="inlineStr">
        <is>
          <t>01:25:01</t>
        </is>
      </c>
      <c r="C4" s="21" t="inlineStr">
        <is>
          <t>S1 Asian Breakout</t>
        </is>
      </c>
      <c r="D4" s="22" t="inlineStr">
        <is>
          <t>SELL</t>
        </is>
      </c>
      <c r="E4" s="20" t="n">
        <v>4378.58</v>
      </c>
      <c r="F4" s="20" t="n">
        <v>4406.16</v>
      </c>
      <c r="G4" s="20" t="n">
        <v>4337.2</v>
      </c>
      <c r="H4" s="20" t="n">
        <v>4323.41</v>
      </c>
      <c r="I4" s="20" t="n">
        <v>10</v>
      </c>
      <c r="J4" s="20" t="n">
        <v>4365.51</v>
      </c>
      <c r="K4" s="23" t="n">
        <v>13065</v>
      </c>
      <c r="L4" s="20" t="n">
        <v>0.05</v>
      </c>
      <c r="M4" s="23" t="n">
        <v>13064.95</v>
      </c>
      <c r="N4" s="23" t="n">
        <v>0</v>
      </c>
      <c r="O4" s="20" t="n">
        <v>0</v>
      </c>
      <c r="P4" s="23" t="inlineStr">
        <is>
          <t>WIN</t>
        </is>
      </c>
      <c r="Q4" s="24" t="inlineStr"/>
    </row>
    <row r="5" ht="20" customHeight="1">
      <c r="A5" s="15" t="inlineStr">
        <is>
          <t>2026-03-31</t>
        </is>
      </c>
      <c r="B5" s="15" t="inlineStr">
        <is>
          <t>20:26:19</t>
        </is>
      </c>
      <c r="C5" s="25" t="inlineStr">
        <is>
          <t>S1 Asian Breakout</t>
        </is>
      </c>
      <c r="D5" s="17" t="inlineStr">
        <is>
          <t>BUY</t>
        </is>
      </c>
      <c r="E5" s="15" t="n">
        <v>4623.66</v>
      </c>
      <c r="F5" s="15" t="n">
        <v>4595.2</v>
      </c>
      <c r="G5" s="15" t="n">
        <v>4666.34</v>
      </c>
      <c r="H5" s="15" t="n">
        <v>4680.57</v>
      </c>
      <c r="I5" s="15" t="n">
        <v>10</v>
      </c>
      <c r="J5" s="15" t="n">
        <v>4597.75</v>
      </c>
      <c r="K5" s="18" t="n">
        <v>-25905</v>
      </c>
      <c r="L5" s="15" t="n">
        <v>0.05</v>
      </c>
      <c r="M5" s="18" t="n">
        <v>-25905.05</v>
      </c>
      <c r="N5" s="17" t="n">
        <v>0</v>
      </c>
      <c r="O5" s="15" t="n">
        <v>0</v>
      </c>
      <c r="P5" s="18" t="inlineStr">
        <is>
          <t>LOSS</t>
        </is>
      </c>
      <c r="Q5" s="19" t="inlineStr"/>
    </row>
    <row r="6" ht="20" customHeight="1">
      <c r="A6" s="20" t="inlineStr">
        <is>
          <t>2026-04-01</t>
        </is>
      </c>
      <c r="B6" s="20" t="inlineStr">
        <is>
          <t>01:25:01</t>
        </is>
      </c>
      <c r="C6" s="21" t="inlineStr">
        <is>
          <t>S1 Asian Breakout</t>
        </is>
      </c>
      <c r="D6" s="23" t="inlineStr">
        <is>
          <t>BUY</t>
        </is>
      </c>
      <c r="E6" s="20" t="n">
        <v>4662.66</v>
      </c>
      <c r="F6" s="20" t="n">
        <v>4636.25</v>
      </c>
      <c r="G6" s="20" t="n">
        <v>4702.27</v>
      </c>
      <c r="H6" s="20" t="n">
        <v>4715.48</v>
      </c>
      <c r="I6" s="20" t="n">
        <v>10</v>
      </c>
      <c r="J6" s="20" t="n">
        <v>4683.66</v>
      </c>
      <c r="K6" s="23" t="n">
        <v>21000</v>
      </c>
      <c r="L6" s="20" t="n">
        <v>0.05</v>
      </c>
      <c r="M6" s="23" t="n">
        <v>20999.95</v>
      </c>
      <c r="N6" s="23" t="n">
        <v>0</v>
      </c>
      <c r="O6" s="20" t="n">
        <v>0</v>
      </c>
      <c r="P6" s="23" t="inlineStr">
        <is>
          <t>WIN</t>
        </is>
      </c>
      <c r="Q6" s="24" t="inlineStr"/>
    </row>
    <row r="7" ht="20" customHeight="1">
      <c r="A7" s="15" t="inlineStr">
        <is>
          <t>2026-04-02</t>
        </is>
      </c>
      <c r="B7" s="15" t="inlineStr">
        <is>
          <t>01:21:55</t>
        </is>
      </c>
      <c r="C7" s="25" t="inlineStr">
        <is>
          <t>S1 Asian Breakout</t>
        </is>
      </c>
      <c r="D7" s="17" t="inlineStr">
        <is>
          <t>BUY</t>
        </is>
      </c>
      <c r="E7" s="15" t="n">
        <v>4775.74</v>
      </c>
      <c r="F7" s="15" t="n">
        <v>4758.4</v>
      </c>
      <c r="G7" s="15" t="n">
        <v>4801.73</v>
      </c>
      <c r="H7" s="15" t="n">
        <v>4810.4</v>
      </c>
      <c r="I7" s="15" t="n">
        <v>10</v>
      </c>
      <c r="J7" s="15" t="n">
        <v>4763.55</v>
      </c>
      <c r="K7" s="18" t="n">
        <v>-12190</v>
      </c>
      <c r="L7" s="15" t="n">
        <v>0.05</v>
      </c>
      <c r="M7" s="18" t="n">
        <v>-12190.05</v>
      </c>
      <c r="N7" s="17" t="n">
        <v>0</v>
      </c>
      <c r="O7" s="15" t="n">
        <v>0</v>
      </c>
      <c r="P7" s="18" t="inlineStr">
        <is>
          <t>LOSS</t>
        </is>
      </c>
      <c r="Q7" s="19" t="inlineStr"/>
    </row>
    <row r="8" ht="20" customHeight="1">
      <c r="A8" s="15" t="inlineStr">
        <is>
          <t>2026-04-07</t>
        </is>
      </c>
      <c r="B8" s="15" t="inlineStr">
        <is>
          <t>19:53:50</t>
        </is>
      </c>
      <c r="C8" s="25" t="inlineStr">
        <is>
          <t>S1 Asian Breakout</t>
        </is>
      </c>
      <c r="D8" s="18" t="inlineStr">
        <is>
          <t>SELL</t>
        </is>
      </c>
      <c r="E8" s="15" t="n">
        <v>4608.14</v>
      </c>
      <c r="F8" s="15" t="n">
        <v>4635.05</v>
      </c>
      <c r="G8" s="15" t="n">
        <v>4567.78</v>
      </c>
      <c r="H8" s="15" t="n">
        <v>4554.32</v>
      </c>
      <c r="I8" s="15" t="n">
        <v>10</v>
      </c>
      <c r="J8" s="15" t="n">
        <v>4636.22</v>
      </c>
      <c r="K8" s="18" t="n">
        <v>-28080</v>
      </c>
      <c r="L8" s="15" t="n">
        <v>0.05</v>
      </c>
      <c r="M8" s="18" t="n">
        <v>-28080.05</v>
      </c>
      <c r="N8" s="17" t="n">
        <v>0</v>
      </c>
      <c r="O8" s="15" t="n">
        <v>0</v>
      </c>
      <c r="P8" s="18" t="inlineStr">
        <is>
          <t>LOSS</t>
        </is>
      </c>
      <c r="Q8" s="19" t="inlineStr"/>
    </row>
    <row r="9" ht="20" customHeight="1">
      <c r="A9" s="15" t="inlineStr">
        <is>
          <t>2026-04-08</t>
        </is>
      </c>
      <c r="B9" s="15" t="inlineStr">
        <is>
          <t>00:26:41</t>
        </is>
      </c>
      <c r="C9" s="25" t="inlineStr">
        <is>
          <t>S1 Asian Breakout</t>
        </is>
      </c>
      <c r="D9" s="17" t="inlineStr">
        <is>
          <t>BUY</t>
        </is>
      </c>
      <c r="E9" s="15" t="n">
        <v>4681.89</v>
      </c>
      <c r="F9" s="15" t="n">
        <v>4659.88</v>
      </c>
      <c r="G9" s="15" t="n">
        <v>4714.91</v>
      </c>
      <c r="H9" s="15" t="n">
        <v>4725.91</v>
      </c>
      <c r="I9" s="15" t="n">
        <v>10</v>
      </c>
      <c r="J9" s="15" t="n">
        <v>4660.23</v>
      </c>
      <c r="K9" s="18" t="n">
        <v>-21665</v>
      </c>
      <c r="L9" s="15" t="n">
        <v>0.05</v>
      </c>
      <c r="M9" s="18" t="n">
        <v>-21665.05</v>
      </c>
      <c r="N9" s="17" t="n">
        <v>0</v>
      </c>
      <c r="O9" s="15" t="n">
        <v>0</v>
      </c>
      <c r="P9" s="18" t="inlineStr">
        <is>
          <t>LOSS</t>
        </is>
      </c>
      <c r="Q9" s="19" t="inlineStr"/>
    </row>
    <row r="10" ht="20" customHeight="1">
      <c r="A10" s="20" t="inlineStr">
        <is>
          <t>2026-04-09</t>
        </is>
      </c>
      <c r="B10" s="20" t="inlineStr">
        <is>
          <t>19:09:16</t>
        </is>
      </c>
      <c r="C10" s="21" t="inlineStr">
        <is>
          <t>S1 Asian Breakout</t>
        </is>
      </c>
      <c r="D10" s="23" t="inlineStr">
        <is>
          <t>BUY</t>
        </is>
      </c>
      <c r="E10" s="20" t="n">
        <v>4744.74</v>
      </c>
      <c r="F10" s="20" t="n">
        <v>4731.52</v>
      </c>
      <c r="G10" s="20" t="n">
        <v>4764.57</v>
      </c>
      <c r="H10" s="20" t="n">
        <v>4771.17</v>
      </c>
      <c r="I10" s="20" t="n">
        <v>10</v>
      </c>
      <c r="J10" s="20" t="n">
        <v>4770.15</v>
      </c>
      <c r="K10" s="23" t="n">
        <v>25405</v>
      </c>
      <c r="L10" s="20" t="n">
        <v>0.05</v>
      </c>
      <c r="M10" s="23" t="n">
        <v>25404.95</v>
      </c>
      <c r="N10" s="23" t="n">
        <v>0</v>
      </c>
      <c r="O10" s="20" t="n">
        <v>0</v>
      </c>
      <c r="P10" s="23" t="inlineStr">
        <is>
          <t>WIN</t>
        </is>
      </c>
      <c r="Q10" s="24" t="inlineStr"/>
    </row>
    <row r="11" ht="20" customHeight="1">
      <c r="A11" s="15" t="inlineStr">
        <is>
          <t>2026-04-14</t>
        </is>
      </c>
      <c r="B11" s="15" t="inlineStr">
        <is>
          <t>17:53:31</t>
        </is>
      </c>
      <c r="C11" s="25" t="inlineStr">
        <is>
          <t>S1 Asian Breakout</t>
        </is>
      </c>
      <c r="D11" s="17" t="inlineStr">
        <is>
          <t>BUY</t>
        </is>
      </c>
      <c r="E11" s="15" t="n">
        <v>4777.57</v>
      </c>
      <c r="F11" s="15" t="n">
        <v>4763.22</v>
      </c>
      <c r="G11" s="15" t="n">
        <v>4799.1</v>
      </c>
      <c r="H11" s="15" t="n">
        <v>4806.28</v>
      </c>
      <c r="I11" s="15" t="n">
        <v>10</v>
      </c>
      <c r="J11" s="15" t="n">
        <v>4764.67</v>
      </c>
      <c r="K11" s="18" t="n">
        <v>-12905</v>
      </c>
      <c r="L11" s="15" t="n">
        <v>0.05</v>
      </c>
      <c r="M11" s="18" t="n">
        <v>-12905.05</v>
      </c>
      <c r="N11" s="17" t="n">
        <v>0</v>
      </c>
      <c r="O11" s="15" t="n">
        <v>0</v>
      </c>
      <c r="P11" s="18" t="inlineStr">
        <is>
          <t>LOSS</t>
        </is>
      </c>
      <c r="Q11" s="19" t="inlineStr"/>
    </row>
    <row r="12" ht="20" customHeight="1">
      <c r="A12" s="15" t="inlineStr">
        <is>
          <t>2026-04-15</t>
        </is>
      </c>
      <c r="B12" s="15" t="inlineStr">
        <is>
          <t>05:43:18</t>
        </is>
      </c>
      <c r="C12" s="25" t="inlineStr">
        <is>
          <t>S1 Asian Breakout</t>
        </is>
      </c>
      <c r="D12" s="17" t="inlineStr">
        <is>
          <t>BUY</t>
        </is>
      </c>
      <c r="E12" s="15" t="n">
        <v>4845.25</v>
      </c>
      <c r="F12" s="15" t="n">
        <v>4832.68</v>
      </c>
      <c r="G12" s="15" t="n">
        <v>4864.1</v>
      </c>
      <c r="H12" s="15" t="n">
        <v>4870.38</v>
      </c>
      <c r="I12" s="15" t="n">
        <v>10</v>
      </c>
      <c r="J12" s="15" t="n">
        <v>4832.54</v>
      </c>
      <c r="K12" s="18" t="n">
        <v>-12710</v>
      </c>
      <c r="L12" s="15" t="n">
        <v>0.05</v>
      </c>
      <c r="M12" s="18" t="n">
        <v>-12710.05</v>
      </c>
      <c r="N12" s="17" t="n">
        <v>0</v>
      </c>
      <c r="O12" s="15" t="n">
        <v>0</v>
      </c>
      <c r="P12" s="18" t="inlineStr">
        <is>
          <t>LOSS</t>
        </is>
      </c>
      <c r="Q12" s="19" t="inlineStr"/>
    </row>
    <row r="13" ht="20" customHeight="1">
      <c r="A13" s="20" t="inlineStr">
        <is>
          <t>2026-04-15</t>
        </is>
      </c>
      <c r="B13" s="20" t="inlineStr">
        <is>
          <t>21:00:18</t>
        </is>
      </c>
      <c r="C13" s="21" t="inlineStr">
        <is>
          <t>S1 Asian Breakout</t>
        </is>
      </c>
      <c r="D13" s="22" t="inlineStr">
        <is>
          <t>SELL</t>
        </is>
      </c>
      <c r="E13" s="20" t="n">
        <v>4819.79</v>
      </c>
      <c r="F13" s="20" t="n">
        <v>4831.37</v>
      </c>
      <c r="G13" s="20" t="n">
        <v>4802.42</v>
      </c>
      <c r="H13" s="20" t="n">
        <v>4796.63</v>
      </c>
      <c r="I13" s="20" t="n">
        <v>10</v>
      </c>
      <c r="J13" s="20" t="n">
        <v>4795.79</v>
      </c>
      <c r="K13" s="23" t="n">
        <v>24000</v>
      </c>
      <c r="L13" s="20" t="n">
        <v>0.05</v>
      </c>
      <c r="M13" s="23" t="n">
        <v>23999.95</v>
      </c>
      <c r="N13" s="23" t="n">
        <v>0</v>
      </c>
      <c r="O13" s="20" t="n">
        <v>0</v>
      </c>
      <c r="P13" s="23" t="inlineStr">
        <is>
          <t>WIN</t>
        </is>
      </c>
      <c r="Q13" s="24" t="inlineStr"/>
    </row>
    <row r="14" ht="20" customHeight="1">
      <c r="A14" s="15" t="inlineStr">
        <is>
          <t>2026-04-16</t>
        </is>
      </c>
      <c r="B14" s="15" t="inlineStr">
        <is>
          <t>21:42:16</t>
        </is>
      </c>
      <c r="C14" s="25" t="inlineStr">
        <is>
          <t>S1 Asian Breakout</t>
        </is>
      </c>
      <c r="D14" s="18" t="inlineStr">
        <is>
          <t>SELL</t>
        </is>
      </c>
      <c r="E14" s="15" t="n">
        <v>4787.83</v>
      </c>
      <c r="F14" s="15" t="n">
        <v>4804.19</v>
      </c>
      <c r="G14" s="15" t="n">
        <v>4763.28</v>
      </c>
      <c r="H14" s="15" t="n">
        <v>4755.1</v>
      </c>
      <c r="I14" s="15" t="n">
        <v>10</v>
      </c>
      <c r="J14" s="15" t="n">
        <v>4806.45</v>
      </c>
      <c r="K14" s="18" t="n">
        <v>-18625</v>
      </c>
      <c r="L14" s="15" t="n">
        <v>0.05</v>
      </c>
      <c r="M14" s="18" t="n">
        <v>-18625.05</v>
      </c>
      <c r="N14" s="17" t="n">
        <v>0</v>
      </c>
      <c r="O14" s="15" t="n">
        <v>0</v>
      </c>
      <c r="P14" s="18" t="inlineStr">
        <is>
          <t>LOSS</t>
        </is>
      </c>
      <c r="Q14" s="19" t="inlineStr"/>
    </row>
    <row r="15" ht="20" customHeight="1">
      <c r="A15" s="20" t="inlineStr">
        <is>
          <t>2026-04-22</t>
        </is>
      </c>
      <c r="B15" s="20" t="inlineStr">
        <is>
          <t>01:25:01</t>
        </is>
      </c>
      <c r="C15" s="21" t="inlineStr">
        <is>
          <t>S1 Asian Breakout</t>
        </is>
      </c>
      <c r="D15" s="22" t="inlineStr">
        <is>
          <t>SELL</t>
        </is>
      </c>
      <c r="E15" s="20" t="n">
        <v>4709.86</v>
      </c>
      <c r="F15" s="20" t="n">
        <v>4732.6</v>
      </c>
      <c r="G15" s="20" t="n">
        <v>4675.76</v>
      </c>
      <c r="H15" s="20" t="n">
        <v>4664.4</v>
      </c>
      <c r="I15" s="20" t="n">
        <v>10</v>
      </c>
      <c r="J15" s="20" t="n">
        <v>4680.63</v>
      </c>
      <c r="K15" s="23" t="n">
        <v>29235</v>
      </c>
      <c r="L15" s="20" t="n">
        <v>0.05</v>
      </c>
      <c r="M15" s="23" t="n">
        <v>29234.95</v>
      </c>
      <c r="N15" s="23" t="n">
        <v>0</v>
      </c>
      <c r="O15" s="20" t="n">
        <v>0</v>
      </c>
      <c r="P15" s="23" t="inlineStr">
        <is>
          <t>WIN</t>
        </is>
      </c>
      <c r="Q15" s="24" t="inlineStr"/>
    </row>
    <row r="16" ht="20" customHeight="1">
      <c r="A16" s="15" t="inlineStr">
        <is>
          <t>2026-04-22</t>
        </is>
      </c>
      <c r="B16" s="15" t="inlineStr">
        <is>
          <t>15:25:59</t>
        </is>
      </c>
      <c r="C16" s="25" t="inlineStr">
        <is>
          <t>S1 Asian Breakout</t>
        </is>
      </c>
      <c r="D16" s="17" t="inlineStr">
        <is>
          <t>BUY</t>
        </is>
      </c>
      <c r="E16" s="15" t="n">
        <v>4760.87</v>
      </c>
      <c r="F16" s="15" t="n">
        <v>4752.36</v>
      </c>
      <c r="G16" s="15" t="n">
        <v>4773.63</v>
      </c>
      <c r="H16" s="15" t="n">
        <v>4777.89</v>
      </c>
      <c r="I16" s="15" t="n">
        <v>10</v>
      </c>
      <c r="J16" s="15" t="n">
        <v>4753.11</v>
      </c>
      <c r="K16" s="18" t="n">
        <v>-7760</v>
      </c>
      <c r="L16" s="15" t="n">
        <v>0.05</v>
      </c>
      <c r="M16" s="18" t="n">
        <v>-7760.05</v>
      </c>
      <c r="N16" s="17" t="n">
        <v>0</v>
      </c>
      <c r="O16" s="15" t="n">
        <v>0</v>
      </c>
      <c r="P16" s="18" t="inlineStr">
        <is>
          <t>LOSS</t>
        </is>
      </c>
      <c r="Q16" s="19" t="inlineStr"/>
    </row>
    <row r="17" ht="20" customHeight="1">
      <c r="A17" s="15" t="inlineStr">
        <is>
          <t>2026-04-23</t>
        </is>
      </c>
      <c r="B17" s="15" t="inlineStr">
        <is>
          <t>17:12:45</t>
        </is>
      </c>
      <c r="C17" s="25" t="inlineStr">
        <is>
          <t>S1 Asian Breakout</t>
        </is>
      </c>
      <c r="D17" s="18" t="inlineStr">
        <is>
          <t>SELL</t>
        </is>
      </c>
      <c r="E17" s="15" t="n">
        <v>4691.82</v>
      </c>
      <c r="F17" s="15" t="n">
        <v>4704.43</v>
      </c>
      <c r="G17" s="15" t="n">
        <v>4672.9</v>
      </c>
      <c r="H17" s="15" t="n">
        <v>4666.59</v>
      </c>
      <c r="I17" s="15" t="n">
        <v>10</v>
      </c>
      <c r="J17" s="15" t="n">
        <v>4704.98</v>
      </c>
      <c r="K17" s="18" t="n">
        <v>-13160</v>
      </c>
      <c r="L17" s="15" t="n">
        <v>0.05</v>
      </c>
      <c r="M17" s="18" t="n">
        <v>-13160.05</v>
      </c>
      <c r="N17" s="17" t="n">
        <v>0</v>
      </c>
      <c r="O17" s="15" t="n">
        <v>0</v>
      </c>
      <c r="P17" s="18" t="inlineStr">
        <is>
          <t>LOSS</t>
        </is>
      </c>
      <c r="Q17" s="19" t="inlineStr"/>
    </row>
    <row r="18" ht="20" customHeight="1">
      <c r="A18" s="15" t="inlineStr">
        <is>
          <t>2026-04-23</t>
        </is>
      </c>
      <c r="B18" s="15" t="inlineStr">
        <is>
          <t>23:24:33</t>
        </is>
      </c>
      <c r="C18" s="25" t="inlineStr">
        <is>
          <t>S1 Asian Breakout</t>
        </is>
      </c>
      <c r="D18" s="18" t="inlineStr">
        <is>
          <t>SELL</t>
        </is>
      </c>
      <c r="E18" s="15" t="n">
        <v>4691.24</v>
      </c>
      <c r="F18" s="15" t="n">
        <v>4708.92</v>
      </c>
      <c r="G18" s="15" t="n">
        <v>4664.71</v>
      </c>
      <c r="H18" s="15" t="n">
        <v>4655.87</v>
      </c>
      <c r="I18" s="15" t="n">
        <v>10</v>
      </c>
      <c r="J18" s="15" t="n">
        <v>4695.16</v>
      </c>
      <c r="K18" s="18" t="n">
        <v>-3925</v>
      </c>
      <c r="L18" s="15" t="n">
        <v>0.05</v>
      </c>
      <c r="M18" s="18" t="n">
        <v>-3925.05</v>
      </c>
      <c r="N18" s="17" t="n">
        <v>0</v>
      </c>
      <c r="O18" s="15" t="n">
        <v>0</v>
      </c>
      <c r="P18" s="18" t="inlineStr">
        <is>
          <t>LOSS</t>
        </is>
      </c>
      <c r="Q18" s="19" t="inlineStr"/>
    </row>
    <row r="19" ht="20" customHeight="1">
      <c r="A19" s="15" t="inlineStr">
        <is>
          <t>2026-04-30</t>
        </is>
      </c>
      <c r="B19" s="15" t="inlineStr">
        <is>
          <t>01:25:01</t>
        </is>
      </c>
      <c r="C19" s="25" t="inlineStr">
        <is>
          <t>S1 Asian Breakout</t>
        </is>
      </c>
      <c r="D19" s="18" t="inlineStr">
        <is>
          <t>SELL</t>
        </is>
      </c>
      <c r="E19" s="15" t="n">
        <v>4535.05</v>
      </c>
      <c r="F19" s="15" t="n">
        <v>4552.12</v>
      </c>
      <c r="G19" s="15" t="n">
        <v>4509.44</v>
      </c>
      <c r="H19" s="15" t="n">
        <v>4500.91</v>
      </c>
      <c r="I19" s="15" t="n">
        <v>10</v>
      </c>
      <c r="J19" s="15" t="n">
        <v>4547.34</v>
      </c>
      <c r="K19" s="18" t="n">
        <v>-12290</v>
      </c>
      <c r="L19" s="15" t="n">
        <v>0.05</v>
      </c>
      <c r="M19" s="18" t="n">
        <v>-12290.05</v>
      </c>
      <c r="N19" s="17" t="n">
        <v>0</v>
      </c>
      <c r="O19" s="15" t="n">
        <v>0</v>
      </c>
      <c r="P19" s="18" t="inlineStr">
        <is>
          <t>LOSS</t>
        </is>
      </c>
      <c r="Q19" s="19" t="inlineStr"/>
    </row>
    <row r="20" ht="20" customHeight="1">
      <c r="A20" s="20" t="inlineStr">
        <is>
          <t>2026-05-05</t>
        </is>
      </c>
      <c r="B20" s="20" t="inlineStr">
        <is>
          <t>17:54:35</t>
        </is>
      </c>
      <c r="C20" s="21" t="inlineStr">
        <is>
          <t>S1 Asian Breakout</t>
        </is>
      </c>
      <c r="D20" s="23" t="inlineStr">
        <is>
          <t>BUY</t>
        </is>
      </c>
      <c r="E20" s="20" t="n">
        <v>4548.04</v>
      </c>
      <c r="F20" s="20" t="n">
        <v>4537.21</v>
      </c>
      <c r="G20" s="20" t="n">
        <v>4564.29</v>
      </c>
      <c r="H20" s="20" t="n">
        <v>4569.71</v>
      </c>
      <c r="I20" s="20" t="n">
        <v>10</v>
      </c>
      <c r="J20" s="20" t="n">
        <v>4568.21</v>
      </c>
      <c r="K20" s="23" t="n">
        <v>20170</v>
      </c>
      <c r="L20" s="20" t="n">
        <v>0.05</v>
      </c>
      <c r="M20" s="23" t="n">
        <v>20169.95</v>
      </c>
      <c r="N20" s="23" t="n">
        <v>0</v>
      </c>
      <c r="O20" s="20" t="n">
        <v>0</v>
      </c>
      <c r="P20" s="23" t="inlineStr">
        <is>
          <t>WIN</t>
        </is>
      </c>
      <c r="Q20" s="24" t="inlineStr"/>
    </row>
    <row r="21" ht="20" customHeight="1">
      <c r="A21" s="15" t="inlineStr">
        <is>
          <t>2026-05-06</t>
        </is>
      </c>
      <c r="B21" s="15" t="inlineStr">
        <is>
          <t>01:25:01</t>
        </is>
      </c>
      <c r="C21" s="25" t="inlineStr">
        <is>
          <t>S1 Asian Breakout</t>
        </is>
      </c>
      <c r="D21" s="17" t="inlineStr">
        <is>
          <t>BUY</t>
        </is>
      </c>
      <c r="E21" s="15" t="n">
        <v>4561.39</v>
      </c>
      <c r="F21" s="15" t="n">
        <v>4551.24</v>
      </c>
      <c r="G21" s="15" t="n">
        <v>4576.62</v>
      </c>
      <c r="H21" s="15" t="n">
        <v>4581.7</v>
      </c>
      <c r="I21" s="15" t="n">
        <v>10</v>
      </c>
      <c r="J21" s="15" t="n">
        <v>4555.22</v>
      </c>
      <c r="K21" s="18" t="n">
        <v>-6170</v>
      </c>
      <c r="L21" s="15" t="n">
        <v>0.05</v>
      </c>
      <c r="M21" s="18" t="n">
        <v>-6170.05</v>
      </c>
      <c r="N21" s="17" t="n">
        <v>0</v>
      </c>
      <c r="O21" s="15" t="n">
        <v>0</v>
      </c>
      <c r="P21" s="18" t="inlineStr">
        <is>
          <t>LOSS</t>
        </is>
      </c>
      <c r="Q21" s="19" t="inlineStr"/>
    </row>
    <row r="22" ht="20" customHeight="1">
      <c r="A22" s="20" t="inlineStr">
        <is>
          <t>2026-05-07</t>
        </is>
      </c>
      <c r="B22" s="20" t="inlineStr">
        <is>
          <t>01:25:02</t>
        </is>
      </c>
      <c r="C22" s="21" t="inlineStr">
        <is>
          <t>S1 Asian Breakout</t>
        </is>
      </c>
      <c r="D22" s="23" t="inlineStr">
        <is>
          <t>BUY</t>
        </is>
      </c>
      <c r="E22" s="20" t="n">
        <v>4686.99</v>
      </c>
      <c r="F22" s="20" t="n">
        <v>4675.32</v>
      </c>
      <c r="G22" s="20" t="n">
        <v>4704.5</v>
      </c>
      <c r="H22" s="20" t="n">
        <v>4710.33</v>
      </c>
      <c r="I22" s="20" t="n">
        <v>10</v>
      </c>
      <c r="J22" s="20" t="n">
        <v>4697.67</v>
      </c>
      <c r="K22" s="23" t="n">
        <v>10675</v>
      </c>
      <c r="L22" s="20" t="n">
        <v>0.05</v>
      </c>
      <c r="M22" s="23" t="n">
        <v>10674.95</v>
      </c>
      <c r="N22" s="23" t="n">
        <v>0</v>
      </c>
      <c r="O22" s="20" t="n">
        <v>0</v>
      </c>
      <c r="P22" s="23" t="inlineStr">
        <is>
          <t>WIN</t>
        </is>
      </c>
      <c r="Q22" s="24" t="inlineStr"/>
    </row>
    <row r="23" ht="20" customHeight="1">
      <c r="A23" s="15" t="inlineStr">
        <is>
          <t>2026-05-13</t>
        </is>
      </c>
      <c r="B23" s="15" t="inlineStr">
        <is>
          <t>00:05:49</t>
        </is>
      </c>
      <c r="C23" s="25" t="inlineStr">
        <is>
          <t>S1 Asian Breakout</t>
        </is>
      </c>
      <c r="D23" s="18" t="inlineStr">
        <is>
          <t>SELL</t>
        </is>
      </c>
      <c r="E23" s="15" t="n">
        <v>4676.56</v>
      </c>
      <c r="F23" s="15" t="n">
        <v>4691.15</v>
      </c>
      <c r="G23" s="15" t="n">
        <v>4654.66</v>
      </c>
      <c r="H23" s="15" t="n">
        <v>4647.37</v>
      </c>
      <c r="I23" s="15" t="n">
        <v>10</v>
      </c>
      <c r="J23" s="15" t="n">
        <v>4689.89</v>
      </c>
      <c r="K23" s="18" t="n">
        <v>-13335</v>
      </c>
      <c r="L23" s="15" t="n">
        <v>0.05</v>
      </c>
      <c r="M23" s="18" t="n">
        <v>-13335.05</v>
      </c>
      <c r="N23" s="17" t="n">
        <v>0</v>
      </c>
      <c r="O23" s="15" t="n">
        <v>0</v>
      </c>
      <c r="P23" s="18" t="inlineStr">
        <is>
          <t>LOSS</t>
        </is>
      </c>
      <c r="Q23" s="19" t="inlineStr"/>
    </row>
    <row r="24" ht="20" customHeight="1">
      <c r="A24" s="15" t="inlineStr">
        <is>
          <t>2026-05-13</t>
        </is>
      </c>
      <c r="B24" s="15" t="inlineStr">
        <is>
          <t>20:02:13</t>
        </is>
      </c>
      <c r="C24" s="25" t="inlineStr">
        <is>
          <t>S1 Asian Breakout</t>
        </is>
      </c>
      <c r="D24" s="18" t="inlineStr">
        <is>
          <t>SELL</t>
        </is>
      </c>
      <c r="E24" s="15" t="n">
        <v>4675.02</v>
      </c>
      <c r="F24" s="15" t="n">
        <v>4687.3</v>
      </c>
      <c r="G24" s="15" t="n">
        <v>4656.6</v>
      </c>
      <c r="H24" s="15" t="n">
        <v>4650.45</v>
      </c>
      <c r="I24" s="15" t="n">
        <v>10</v>
      </c>
      <c r="J24" s="15" t="n">
        <v>4688.62</v>
      </c>
      <c r="K24" s="18" t="n">
        <v>-13600</v>
      </c>
      <c r="L24" s="15" t="n">
        <v>0.05</v>
      </c>
      <c r="M24" s="18" t="n">
        <v>-13600.05</v>
      </c>
      <c r="N24" s="17" t="n">
        <v>0</v>
      </c>
      <c r="O24" s="15" t="n">
        <v>0</v>
      </c>
      <c r="P24" s="18" t="inlineStr">
        <is>
          <t>LOSS</t>
        </is>
      </c>
      <c r="Q24" s="19" t="inlineStr"/>
    </row>
    <row r="25" ht="20" customHeight="1">
      <c r="A25" s="15" t="inlineStr">
        <is>
          <t>2026-05-14</t>
        </is>
      </c>
      <c r="B25" s="15" t="inlineStr">
        <is>
          <t>18:16:09</t>
        </is>
      </c>
      <c r="C25" s="25" t="inlineStr">
        <is>
          <t>S1 Asian Breakout</t>
        </is>
      </c>
      <c r="D25" s="17" t="inlineStr">
        <is>
          <t>BUY</t>
        </is>
      </c>
      <c r="E25" s="15" t="n">
        <v>4707.5</v>
      </c>
      <c r="F25" s="15" t="n">
        <v>4695.97</v>
      </c>
      <c r="G25" s="15" t="n">
        <v>4724.79</v>
      </c>
      <c r="H25" s="15" t="n">
        <v>4730.55</v>
      </c>
      <c r="I25" s="15" t="n">
        <v>10</v>
      </c>
      <c r="J25" s="15" t="n">
        <v>4697.93</v>
      </c>
      <c r="K25" s="18" t="n">
        <v>-9570</v>
      </c>
      <c r="L25" s="15" t="n">
        <v>0.05</v>
      </c>
      <c r="M25" s="18" t="n">
        <v>-9570.049999999999</v>
      </c>
      <c r="N25" s="17" t="n">
        <v>0</v>
      </c>
      <c r="O25" s="15" t="n">
        <v>0</v>
      </c>
      <c r="P25" s="18" t="inlineStr">
        <is>
          <t>LOSS</t>
        </is>
      </c>
      <c r="Q25" s="19" t="inlineStr"/>
    </row>
    <row r="26" ht="20" customHeight="1">
      <c r="A26" s="20" t="inlineStr">
        <is>
          <t>2026-05-15</t>
        </is>
      </c>
      <c r="B26" s="20" t="inlineStr">
        <is>
          <t>01:25:01</t>
        </is>
      </c>
      <c r="C26" s="21" t="inlineStr">
        <is>
          <t>S1 Asian Breakout</t>
        </is>
      </c>
      <c r="D26" s="22" t="inlineStr">
        <is>
          <t>SELL</t>
        </is>
      </c>
      <c r="E26" s="20" t="n">
        <v>4673.24</v>
      </c>
      <c r="F26" s="20" t="n">
        <v>4683.83</v>
      </c>
      <c r="G26" s="20" t="n">
        <v>4657.36</v>
      </c>
      <c r="H26" s="20" t="n">
        <v>4652.07</v>
      </c>
      <c r="I26" s="20" t="n">
        <v>10</v>
      </c>
      <c r="J26" s="20" t="n">
        <v>4657.65</v>
      </c>
      <c r="K26" s="23" t="n">
        <v>15590</v>
      </c>
      <c r="L26" s="20" t="n">
        <v>0.05</v>
      </c>
      <c r="M26" s="23" t="n">
        <v>15589.95</v>
      </c>
      <c r="N26" s="23" t="n">
        <v>0</v>
      </c>
      <c r="O26" s="20" t="n">
        <v>0</v>
      </c>
      <c r="P26" s="23" t="inlineStr">
        <is>
          <t>WIN</t>
        </is>
      </c>
      <c r="Q26" s="24" t="inlineStr"/>
    </row>
    <row r="27" ht="20" customHeight="1">
      <c r="A27" s="15" t="inlineStr">
        <is>
          <t>2026-05-19</t>
        </is>
      </c>
      <c r="B27" s="15" t="inlineStr">
        <is>
          <t>17:42:25</t>
        </is>
      </c>
      <c r="C27" s="25" t="inlineStr">
        <is>
          <t>S1 Asian Breakout</t>
        </is>
      </c>
      <c r="D27" s="18" t="inlineStr">
        <is>
          <t>SELL</t>
        </is>
      </c>
      <c r="E27" s="15" t="n">
        <v>4533.06</v>
      </c>
      <c r="F27" s="15" t="n">
        <v>4546.58</v>
      </c>
      <c r="G27" s="15" t="n">
        <v>4512.78</v>
      </c>
      <c r="H27" s="15" t="n">
        <v>4506.02</v>
      </c>
      <c r="I27" s="15" t="n">
        <v>10</v>
      </c>
      <c r="J27" s="15" t="n">
        <v>4545.41</v>
      </c>
      <c r="K27" s="18" t="n">
        <v>-12350</v>
      </c>
      <c r="L27" s="15" t="n">
        <v>0.05</v>
      </c>
      <c r="M27" s="18" t="n">
        <v>-12350.05</v>
      </c>
      <c r="N27" s="17" t="n">
        <v>0</v>
      </c>
      <c r="O27" s="15" t="n">
        <v>0</v>
      </c>
      <c r="P27" s="18" t="inlineStr">
        <is>
          <t>LOSS</t>
        </is>
      </c>
      <c r="Q27" s="19" t="inlineStr"/>
    </row>
    <row r="28" ht="20" customHeight="1">
      <c r="A28" s="20" t="inlineStr">
        <is>
          <t>2026-05-20</t>
        </is>
      </c>
      <c r="B28" s="20" t="inlineStr">
        <is>
          <t>01:25:01</t>
        </is>
      </c>
      <c r="C28" s="21" t="inlineStr">
        <is>
          <t>S1 Asian Breakout</t>
        </is>
      </c>
      <c r="D28" s="22" t="inlineStr">
        <is>
          <t>SELL</t>
        </is>
      </c>
      <c r="E28" s="20" t="n">
        <v>4499.84</v>
      </c>
      <c r="F28" s="20" t="n">
        <v>4512.27</v>
      </c>
      <c r="G28" s="20" t="n">
        <v>4481.19</v>
      </c>
      <c r="H28" s="20" t="n">
        <v>4474.98</v>
      </c>
      <c r="I28" s="20" t="n">
        <v>10</v>
      </c>
      <c r="J28" s="20" t="n">
        <v>4483.34</v>
      </c>
      <c r="K28" s="23" t="n">
        <v>16500</v>
      </c>
      <c r="L28" s="20" t="n">
        <v>0.05</v>
      </c>
      <c r="M28" s="23" t="n">
        <v>16499.95</v>
      </c>
      <c r="N28" s="23" t="n">
        <v>0</v>
      </c>
      <c r="O28" s="20" t="n">
        <v>0</v>
      </c>
      <c r="P28" s="23" t="inlineStr">
        <is>
          <t>WIN</t>
        </is>
      </c>
      <c r="Q28" s="24" t="inlineStr"/>
    </row>
    <row r="29" ht="20" customHeight="1">
      <c r="A29" s="15" t="inlineStr">
        <is>
          <t>2026-05-20</t>
        </is>
      </c>
      <c r="B29" s="15" t="inlineStr">
        <is>
          <t>16:09:36</t>
        </is>
      </c>
      <c r="C29" s="25" t="inlineStr">
        <is>
          <t>S1 Asian Breakout</t>
        </is>
      </c>
      <c r="D29" s="18" t="inlineStr">
        <is>
          <t>SELL</t>
        </is>
      </c>
      <c r="E29" s="15" t="n">
        <v>4483.22</v>
      </c>
      <c r="F29" s="15" t="n">
        <v>4493.03</v>
      </c>
      <c r="G29" s="15" t="n">
        <v>4468.5</v>
      </c>
      <c r="H29" s="15" t="n">
        <v>4463.6</v>
      </c>
      <c r="I29" s="15" t="n">
        <v>10</v>
      </c>
      <c r="J29" s="15" t="n">
        <v>4495.93</v>
      </c>
      <c r="K29" s="18" t="n">
        <v>-12710</v>
      </c>
      <c r="L29" s="15" t="n">
        <v>0.05</v>
      </c>
      <c r="M29" s="18" t="n">
        <v>-12710.05</v>
      </c>
      <c r="N29" s="17" t="n">
        <v>0</v>
      </c>
      <c r="O29" s="15" t="n">
        <v>0</v>
      </c>
      <c r="P29" s="18" t="inlineStr">
        <is>
          <t>LOSS</t>
        </is>
      </c>
      <c r="Q29" s="19" t="inlineStr"/>
    </row>
    <row r="30" ht="20" customHeight="1">
      <c r="A30" s="20" t="inlineStr">
        <is>
          <t>2026-05-21</t>
        </is>
      </c>
      <c r="B30" s="20" t="inlineStr">
        <is>
          <t>01:25:02</t>
        </is>
      </c>
      <c r="C30" s="21" t="inlineStr">
        <is>
          <t>S1 Asian Breakout</t>
        </is>
      </c>
      <c r="D30" s="23" t="inlineStr">
        <is>
          <t>BUY</t>
        </is>
      </c>
      <c r="E30" s="20" t="n">
        <v>4535</v>
      </c>
      <c r="F30" s="20" t="n">
        <v>4521.29</v>
      </c>
      <c r="G30" s="20" t="n">
        <v>4555.56</v>
      </c>
      <c r="H30" s="20" t="n">
        <v>4562.42</v>
      </c>
      <c r="I30" s="20" t="n">
        <v>10</v>
      </c>
      <c r="J30" s="20" t="n">
        <v>4547.84</v>
      </c>
      <c r="K30" s="23" t="n">
        <v>12840</v>
      </c>
      <c r="L30" s="20" t="n">
        <v>0.05</v>
      </c>
      <c r="M30" s="23" t="n">
        <v>12839.95</v>
      </c>
      <c r="N30" s="23" t="n">
        <v>0</v>
      </c>
      <c r="O30" s="20" t="n">
        <v>0</v>
      </c>
      <c r="P30" s="23" t="inlineStr">
        <is>
          <t>WIN</t>
        </is>
      </c>
      <c r="Q30" s="24" t="inlineStr"/>
    </row>
    <row r="31" ht="20" customHeight="1">
      <c r="A31" s="15" t="inlineStr">
        <is>
          <t>2026-05-26</t>
        </is>
      </c>
      <c r="B31" s="15" t="inlineStr">
        <is>
          <t>23:56:02</t>
        </is>
      </c>
      <c r="C31" s="25" t="inlineStr">
        <is>
          <t>S1 Asian Breakout</t>
        </is>
      </c>
      <c r="D31" s="18" t="inlineStr">
        <is>
          <t>SELL</t>
        </is>
      </c>
      <c r="E31" s="15" t="n">
        <v>4484.45</v>
      </c>
      <c r="F31" s="15" t="n">
        <v>4495.07</v>
      </c>
      <c r="G31" s="15" t="n">
        <v>4468.52</v>
      </c>
      <c r="H31" s="15" t="n">
        <v>4463.22</v>
      </c>
      <c r="I31" s="15" t="n">
        <v>10</v>
      </c>
      <c r="J31" s="15" t="n">
        <v>4493.81</v>
      </c>
      <c r="K31" s="18" t="n">
        <v>-9360</v>
      </c>
      <c r="L31" s="15" t="n">
        <v>0.05</v>
      </c>
      <c r="M31" s="18" t="n">
        <v>-9360.049999999999</v>
      </c>
      <c r="N31" s="17" t="n">
        <v>0</v>
      </c>
      <c r="O31" s="15" t="n">
        <v>0</v>
      </c>
      <c r="P31" s="18" t="inlineStr">
        <is>
          <t>LOSS</t>
        </is>
      </c>
      <c r="Q31" s="19" t="inlineStr"/>
    </row>
    <row r="32" ht="20" customHeight="1">
      <c r="A32" s="15" t="inlineStr">
        <is>
          <t>2026-05-28</t>
        </is>
      </c>
      <c r="B32" s="15" t="inlineStr">
        <is>
          <t>01:25:01</t>
        </is>
      </c>
      <c r="C32" s="25" t="inlineStr">
        <is>
          <t>S1 Asian Breakout</t>
        </is>
      </c>
      <c r="D32" s="18" t="inlineStr">
        <is>
          <t>SELL</t>
        </is>
      </c>
      <c r="E32" s="15" t="n">
        <v>4449.01</v>
      </c>
      <c r="F32" s="15" t="n">
        <v>4460.11</v>
      </c>
      <c r="G32" s="15" t="n">
        <v>4432.35</v>
      </c>
      <c r="H32" s="15" t="n">
        <v>4426.8</v>
      </c>
      <c r="I32" s="15" t="n">
        <v>10</v>
      </c>
      <c r="J32" s="15" t="n">
        <v>4450.54</v>
      </c>
      <c r="K32" s="18" t="n">
        <v>-1535</v>
      </c>
      <c r="L32" s="15" t="n">
        <v>0.05</v>
      </c>
      <c r="M32" s="18" t="n">
        <v>-1535.05</v>
      </c>
      <c r="N32" s="17" t="n">
        <v>0</v>
      </c>
      <c r="O32" s="15" t="n">
        <v>0</v>
      </c>
      <c r="P32" s="18" t="inlineStr">
        <is>
          <t>LOSS</t>
        </is>
      </c>
      <c r="Q32" s="19" t="inlineStr"/>
    </row>
    <row r="33" ht="20" customHeight="1">
      <c r="A33" s="15" t="inlineStr">
        <is>
          <t>2026-05-28</t>
        </is>
      </c>
      <c r="B33" s="15" t="inlineStr">
        <is>
          <t>18:16:28</t>
        </is>
      </c>
      <c r="C33" s="25" t="inlineStr">
        <is>
          <t>S1 Asian Breakout</t>
        </is>
      </c>
      <c r="D33" s="18" t="inlineStr">
        <is>
          <t>SELL</t>
        </is>
      </c>
      <c r="E33" s="15" t="n">
        <v>4391.08</v>
      </c>
      <c r="F33" s="15" t="n">
        <v>4403.55</v>
      </c>
      <c r="G33" s="15" t="n">
        <v>4372.37</v>
      </c>
      <c r="H33" s="15" t="n">
        <v>4366.14</v>
      </c>
      <c r="I33" s="15" t="n">
        <v>10</v>
      </c>
      <c r="J33" s="15" t="n">
        <v>4405.2</v>
      </c>
      <c r="K33" s="18" t="n">
        <v>-14120</v>
      </c>
      <c r="L33" s="15" t="n">
        <v>0.05</v>
      </c>
      <c r="M33" s="18" t="n">
        <v>-14120.05</v>
      </c>
      <c r="N33" s="17" t="n">
        <v>0</v>
      </c>
      <c r="O33" s="15" t="n">
        <v>0</v>
      </c>
      <c r="P33" s="18" t="inlineStr">
        <is>
          <t>LOSS</t>
        </is>
      </c>
      <c r="Q33" s="19" t="inlineStr"/>
    </row>
    <row r="34" ht="20" customHeight="1">
      <c r="A34" s="15" t="inlineStr">
        <is>
          <t>2026-06-02</t>
        </is>
      </c>
      <c r="B34" s="15" t="inlineStr">
        <is>
          <t>23:06:43</t>
        </is>
      </c>
      <c r="C34" s="25" t="inlineStr">
        <is>
          <t>S1 Asian Breakout</t>
        </is>
      </c>
      <c r="D34" s="17" t="inlineStr">
        <is>
          <t>BUY</t>
        </is>
      </c>
      <c r="E34" s="15" t="n">
        <v>4498</v>
      </c>
      <c r="F34" s="15" t="n">
        <v>4485.45</v>
      </c>
      <c r="G34" s="15" t="n">
        <v>4516.82</v>
      </c>
      <c r="H34" s="15" t="n">
        <v>4523.09</v>
      </c>
      <c r="I34" s="15" t="n">
        <v>10</v>
      </c>
      <c r="J34" s="15" t="n">
        <v>4485.07</v>
      </c>
      <c r="K34" s="18" t="n">
        <v>-12930</v>
      </c>
      <c r="L34" s="15" t="n">
        <v>0.05</v>
      </c>
      <c r="M34" s="18" t="n">
        <v>-12930.05</v>
      </c>
      <c r="N34" s="17" t="n">
        <v>0</v>
      </c>
      <c r="O34" s="15" t="n">
        <v>0</v>
      </c>
      <c r="P34" s="18" t="inlineStr">
        <is>
          <t>LOSS</t>
        </is>
      </c>
      <c r="Q34" s="19" t="inlineStr"/>
    </row>
    <row r="35" ht="20" customHeight="1">
      <c r="A35" s="20" t="inlineStr">
        <is>
          <t>2026-06-03</t>
        </is>
      </c>
      <c r="B35" s="20" t="inlineStr">
        <is>
          <t>19:15:30</t>
        </is>
      </c>
      <c r="C35" s="21" t="inlineStr">
        <is>
          <t>S1 Asian Breakout</t>
        </is>
      </c>
      <c r="D35" s="22" t="inlineStr">
        <is>
          <t>SELL</t>
        </is>
      </c>
      <c r="E35" s="20" t="n">
        <v>4459.78</v>
      </c>
      <c r="F35" s="20" t="n">
        <v>4474.55</v>
      </c>
      <c r="G35" s="20" t="n">
        <v>4437.63</v>
      </c>
      <c r="H35" s="20" t="n">
        <v>4430.24</v>
      </c>
      <c r="I35" s="20" t="n">
        <v>10</v>
      </c>
      <c r="J35" s="20" t="n">
        <v>4431.3</v>
      </c>
      <c r="K35" s="23" t="n">
        <v>28480</v>
      </c>
      <c r="L35" s="20" t="n">
        <v>0.05</v>
      </c>
      <c r="M35" s="23" t="n">
        <v>28479.95</v>
      </c>
      <c r="N35" s="23" t="n">
        <v>0</v>
      </c>
      <c r="O35" s="20" t="n">
        <v>0</v>
      </c>
      <c r="P35" s="23" t="inlineStr">
        <is>
          <t>WIN</t>
        </is>
      </c>
      <c r="Q35" s="24" t="inlineStr"/>
    </row>
    <row r="36" ht="20" customHeight="1">
      <c r="A36" s="20" t="inlineStr">
        <is>
          <t>2026-06-04</t>
        </is>
      </c>
      <c r="B36" s="20" t="inlineStr">
        <is>
          <t>17:17:40</t>
        </is>
      </c>
      <c r="C36" s="21" t="inlineStr">
        <is>
          <t>S1 Asian Breakout</t>
        </is>
      </c>
      <c r="D36" s="23" t="inlineStr">
        <is>
          <t>BUY</t>
        </is>
      </c>
      <c r="E36" s="20" t="n">
        <v>4476.78</v>
      </c>
      <c r="F36" s="20" t="n">
        <v>4466.61</v>
      </c>
      <c r="G36" s="20" t="n">
        <v>4492.03</v>
      </c>
      <c r="H36" s="20" t="n">
        <v>4497.12</v>
      </c>
      <c r="I36" s="20" t="n">
        <v>10</v>
      </c>
      <c r="J36" s="20" t="n">
        <v>4500.62</v>
      </c>
      <c r="K36" s="23" t="n">
        <v>23845</v>
      </c>
      <c r="L36" s="20" t="n">
        <v>0.05</v>
      </c>
      <c r="M36" s="23" t="n">
        <v>23844.95</v>
      </c>
      <c r="N36" s="23" t="n">
        <v>0</v>
      </c>
      <c r="O36" s="20" t="n">
        <v>0</v>
      </c>
      <c r="P36" s="23" t="inlineStr">
        <is>
          <t>WIN</t>
        </is>
      </c>
      <c r="Q36" s="24" t="inlineStr"/>
    </row>
    <row r="37" ht="20" customHeight="1">
      <c r="A37" s="15" t="inlineStr">
        <is>
          <t>2026-06-09</t>
        </is>
      </c>
      <c r="B37" s="15" t="inlineStr">
        <is>
          <t>19:24:43</t>
        </is>
      </c>
      <c r="C37" s="25" t="inlineStr">
        <is>
          <t>S1 Asian Breakout</t>
        </is>
      </c>
      <c r="D37" s="17" t="inlineStr">
        <is>
          <t>BUY</t>
        </is>
      </c>
      <c r="E37" s="15" t="n">
        <v>4346.11</v>
      </c>
      <c r="F37" s="15" t="n">
        <v>4334.47</v>
      </c>
      <c r="G37" s="15" t="n">
        <v>4363.58</v>
      </c>
      <c r="H37" s="15" t="n">
        <v>4369.4</v>
      </c>
      <c r="I37" s="15" t="n">
        <v>10</v>
      </c>
      <c r="J37" s="15" t="n">
        <v>4336.92</v>
      </c>
      <c r="K37" s="18" t="n">
        <v>-9185</v>
      </c>
      <c r="L37" s="15" t="n">
        <v>0.05</v>
      </c>
      <c r="M37" s="18" t="n">
        <v>-9185.049999999999</v>
      </c>
      <c r="N37" s="17" t="n">
        <v>0</v>
      </c>
      <c r="O37" s="15" t="n">
        <v>0</v>
      </c>
      <c r="P37" s="18" t="inlineStr">
        <is>
          <t>LOSS</t>
        </is>
      </c>
      <c r="Q37" s="19" t="inlineStr"/>
    </row>
    <row r="38" ht="20" customHeight="1">
      <c r="A38" s="15" t="inlineStr">
        <is>
          <t>2026-06-10</t>
        </is>
      </c>
      <c r="B38" s="15" t="inlineStr">
        <is>
          <t>01:25:02</t>
        </is>
      </c>
      <c r="C38" s="25" t="inlineStr">
        <is>
          <t>S1 Asian Breakout</t>
        </is>
      </c>
      <c r="D38" s="18" t="inlineStr">
        <is>
          <t>SELL</t>
        </is>
      </c>
      <c r="E38" s="15" t="n">
        <v>4257.27</v>
      </c>
      <c r="F38" s="15" t="n">
        <v>4276.24</v>
      </c>
      <c r="G38" s="15" t="n">
        <v>4228.8</v>
      </c>
      <c r="H38" s="15" t="n">
        <v>4219.32</v>
      </c>
      <c r="I38" s="15" t="n">
        <v>10</v>
      </c>
      <c r="J38" s="15" t="n">
        <v>4259.22</v>
      </c>
      <c r="K38" s="18" t="n">
        <v>-1955</v>
      </c>
      <c r="L38" s="15" t="n">
        <v>0.05</v>
      </c>
      <c r="M38" s="18" t="n">
        <v>-1955.05</v>
      </c>
      <c r="N38" s="17" t="n">
        <v>0</v>
      </c>
      <c r="O38" s="15" t="n">
        <v>0</v>
      </c>
      <c r="P38" s="18" t="inlineStr">
        <is>
          <t>LOSS</t>
        </is>
      </c>
      <c r="Q38" s="19" t="inlineStr"/>
    </row>
    <row r="39" ht="20" customHeight="1">
      <c r="A39" s="20" t="inlineStr">
        <is>
          <t>2026-06-10</t>
        </is>
      </c>
      <c r="B39" s="20" t="inlineStr">
        <is>
          <t>20:49:04</t>
        </is>
      </c>
      <c r="C39" s="21" t="inlineStr">
        <is>
          <t>S1 Asian Breakout</t>
        </is>
      </c>
      <c r="D39" s="22" t="inlineStr">
        <is>
          <t>SELL</t>
        </is>
      </c>
      <c r="E39" s="20" t="n">
        <v>4171.8</v>
      </c>
      <c r="F39" s="20" t="n">
        <v>4199.68</v>
      </c>
      <c r="G39" s="20" t="n">
        <v>4129.98</v>
      </c>
      <c r="H39" s="20" t="n">
        <v>4116.04</v>
      </c>
      <c r="I39" s="20" t="n">
        <v>10</v>
      </c>
      <c r="J39" s="20" t="n">
        <v>4116.44</v>
      </c>
      <c r="K39" s="23" t="n">
        <v>55355</v>
      </c>
      <c r="L39" s="20" t="n">
        <v>0.05</v>
      </c>
      <c r="M39" s="23" t="n">
        <v>55354.95</v>
      </c>
      <c r="N39" s="23" t="n">
        <v>0</v>
      </c>
      <c r="O39" s="20" t="n">
        <v>0</v>
      </c>
      <c r="P39" s="23" t="inlineStr">
        <is>
          <t>WIN</t>
        </is>
      </c>
      <c r="Q39" s="24" t="inlineStr"/>
    </row>
    <row r="40" ht="20" customHeight="1">
      <c r="A40" s="20" t="inlineStr">
        <is>
          <t>2026-06-11</t>
        </is>
      </c>
      <c r="B40" s="20" t="inlineStr">
        <is>
          <t>01:25:01</t>
        </is>
      </c>
      <c r="C40" s="21" t="inlineStr">
        <is>
          <t>S1 Asian Breakout</t>
        </is>
      </c>
      <c r="D40" s="22" t="inlineStr">
        <is>
          <t>SELL</t>
        </is>
      </c>
      <c r="E40" s="20" t="n">
        <v>4108.03</v>
      </c>
      <c r="F40" s="20" t="n">
        <v>4126.54</v>
      </c>
      <c r="G40" s="20" t="n">
        <v>4080.26</v>
      </c>
      <c r="H40" s="20" t="n">
        <v>4071</v>
      </c>
      <c r="I40" s="20" t="n">
        <v>10</v>
      </c>
      <c r="J40" s="20" t="n">
        <v>4085.51</v>
      </c>
      <c r="K40" s="23" t="n">
        <v>22515</v>
      </c>
      <c r="L40" s="20" t="n">
        <v>0.05</v>
      </c>
      <c r="M40" s="23" t="n">
        <v>22514.95</v>
      </c>
      <c r="N40" s="23" t="n">
        <v>0</v>
      </c>
      <c r="O40" s="20" t="n">
        <v>0</v>
      </c>
      <c r="P40" s="23" t="inlineStr">
        <is>
          <t>WIN</t>
        </is>
      </c>
      <c r="Q40" s="24" t="inlineStr"/>
    </row>
    <row r="41" ht="20" customHeight="1">
      <c r="A41" s="20" t="inlineStr">
        <is>
          <t>2026-06-11</t>
        </is>
      </c>
      <c r="B41" s="20" t="inlineStr">
        <is>
          <t>23:15:04</t>
        </is>
      </c>
      <c r="C41" s="21" t="inlineStr">
        <is>
          <t>S1 Asian Breakout</t>
        </is>
      </c>
      <c r="D41" s="23" t="inlineStr">
        <is>
          <t>BUY</t>
        </is>
      </c>
      <c r="E41" s="20" t="n">
        <v>4121.57</v>
      </c>
      <c r="F41" s="20" t="n">
        <v>4097.6</v>
      </c>
      <c r="G41" s="20" t="n">
        <v>4157.51</v>
      </c>
      <c r="H41" s="20" t="n">
        <v>4169.49</v>
      </c>
      <c r="I41" s="20" t="n">
        <v>10</v>
      </c>
      <c r="J41" s="20" t="n">
        <v>4167.3</v>
      </c>
      <c r="K41" s="23" t="n">
        <v>45735</v>
      </c>
      <c r="L41" s="20" t="n">
        <v>0.05</v>
      </c>
      <c r="M41" s="23" t="n">
        <v>45734.95</v>
      </c>
      <c r="N41" s="23" t="n">
        <v>0</v>
      </c>
      <c r="O41" s="20" t="n">
        <v>0</v>
      </c>
      <c r="P41" s="23" t="inlineStr">
        <is>
          <t>WIN</t>
        </is>
      </c>
      <c r="Q41" s="24" t="inlineStr"/>
    </row>
    <row r="42" ht="20" customHeight="1">
      <c r="A42" s="20" t="inlineStr">
        <is>
          <t>2026-06-12</t>
        </is>
      </c>
      <c r="B42" s="20" t="inlineStr">
        <is>
          <t>01:05:56</t>
        </is>
      </c>
      <c r="C42" s="21" t="inlineStr">
        <is>
          <t>S1 Asian Breakout</t>
        </is>
      </c>
      <c r="D42" s="23" t="inlineStr">
        <is>
          <t>BUY</t>
        </is>
      </c>
      <c r="E42" s="20" t="n">
        <v>4156.32</v>
      </c>
      <c r="F42" s="20" t="n">
        <v>4126.75</v>
      </c>
      <c r="G42" s="20" t="n">
        <v>4200.68</v>
      </c>
      <c r="H42" s="20" t="n">
        <v>4215.47</v>
      </c>
      <c r="I42" s="20" t="n">
        <v>10</v>
      </c>
      <c r="J42" s="20" t="n">
        <v>4210.89</v>
      </c>
      <c r="K42" s="23" t="n">
        <v>54565</v>
      </c>
      <c r="L42" s="20" t="n">
        <v>0.05</v>
      </c>
      <c r="M42" s="23" t="n">
        <v>54564.95</v>
      </c>
      <c r="N42" s="23" t="n">
        <v>0</v>
      </c>
      <c r="O42" s="20" t="n">
        <v>0</v>
      </c>
      <c r="P42" s="23" t="inlineStr">
        <is>
          <t>WIN</t>
        </is>
      </c>
      <c r="Q42" s="24" t="inlineStr"/>
    </row>
    <row r="43" ht="20" customHeight="1">
      <c r="A43" s="20" t="inlineStr">
        <is>
          <t>2026-06-17</t>
        </is>
      </c>
      <c r="B43" s="20" t="inlineStr">
        <is>
          <t>01:25:01</t>
        </is>
      </c>
      <c r="C43" s="21" t="inlineStr">
        <is>
          <t>S1 Asian Breakout</t>
        </is>
      </c>
      <c r="D43" s="23" t="inlineStr">
        <is>
          <t>BUY</t>
        </is>
      </c>
      <c r="E43" s="20" t="n">
        <v>4328.31</v>
      </c>
      <c r="F43" s="20" t="n">
        <v>4314.68</v>
      </c>
      <c r="G43" s="20" t="n">
        <v>4348.74</v>
      </c>
      <c r="H43" s="20" t="n">
        <v>4355.55</v>
      </c>
      <c r="I43" s="20" t="n">
        <v>10</v>
      </c>
      <c r="J43" s="20" t="n">
        <v>4333.86</v>
      </c>
      <c r="K43" s="23" t="n">
        <v>5555</v>
      </c>
      <c r="L43" s="20" t="n">
        <v>0.05</v>
      </c>
      <c r="M43" s="23" t="n">
        <v>5554.95</v>
      </c>
      <c r="N43" s="23" t="n">
        <v>0</v>
      </c>
      <c r="O43" s="20" t="n">
        <v>0</v>
      </c>
      <c r="P43" s="23" t="inlineStr">
        <is>
          <t>WIN</t>
        </is>
      </c>
      <c r="Q43" s="24" t="inlineStr"/>
    </row>
    <row r="44" ht="20" customHeight="1">
      <c r="A44" s="20" t="inlineStr">
        <is>
          <t>2026-06-17</t>
        </is>
      </c>
      <c r="B44" s="20" t="inlineStr">
        <is>
          <t>18:37:50</t>
        </is>
      </c>
      <c r="C44" s="21" t="inlineStr">
        <is>
          <t>S1 Asian Breakout</t>
        </is>
      </c>
      <c r="D44" s="22" t="inlineStr">
        <is>
          <t>SELL</t>
        </is>
      </c>
      <c r="E44" s="20" t="n">
        <v>4326.23</v>
      </c>
      <c r="F44" s="20" t="n">
        <v>4333.95</v>
      </c>
      <c r="G44" s="20" t="n">
        <v>4314.64</v>
      </c>
      <c r="H44" s="20" t="n">
        <v>4310.78</v>
      </c>
      <c r="I44" s="20" t="n">
        <v>10</v>
      </c>
      <c r="J44" s="20" t="n">
        <v>4325.01</v>
      </c>
      <c r="K44" s="23" t="n">
        <v>1215</v>
      </c>
      <c r="L44" s="20" t="n">
        <v>0.05</v>
      </c>
      <c r="M44" s="23" t="n">
        <v>1214.95</v>
      </c>
      <c r="N44" s="23" t="n">
        <v>0</v>
      </c>
      <c r="O44" s="20" t="n">
        <v>0</v>
      </c>
      <c r="P44" s="23" t="inlineStr">
        <is>
          <t>WIN</t>
        </is>
      </c>
      <c r="Q44" s="24" t="inlineStr"/>
    </row>
    <row r="45" ht="20" customHeight="1">
      <c r="A45" s="20" t="inlineStr">
        <is>
          <t>2026-06-19</t>
        </is>
      </c>
      <c r="B45" s="20" t="inlineStr">
        <is>
          <t>01:25:01</t>
        </is>
      </c>
      <c r="C45" s="21" t="inlineStr">
        <is>
          <t>S1 Asian Breakout</t>
        </is>
      </c>
      <c r="D45" s="22" t="inlineStr">
        <is>
          <t>SELL</t>
        </is>
      </c>
      <c r="E45" s="20" t="n">
        <v>4217.37</v>
      </c>
      <c r="F45" s="20" t="n">
        <v>4236.27</v>
      </c>
      <c r="G45" s="20" t="n">
        <v>4189.02</v>
      </c>
      <c r="H45" s="20" t="n">
        <v>4179.57</v>
      </c>
      <c r="I45" s="20" t="n">
        <v>10</v>
      </c>
      <c r="J45" s="20" t="n">
        <v>4216.59</v>
      </c>
      <c r="K45" s="23" t="n">
        <v>785</v>
      </c>
      <c r="L45" s="20" t="n">
        <v>0.05</v>
      </c>
      <c r="M45" s="23" t="n">
        <v>784.95</v>
      </c>
      <c r="N45" s="23" t="n">
        <v>0</v>
      </c>
      <c r="O45" s="20" t="n">
        <v>0</v>
      </c>
      <c r="P45" s="23" t="inlineStr">
        <is>
          <t>WIN</t>
        </is>
      </c>
      <c r="Q45" s="24" t="inlineStr"/>
    </row>
    <row r="46" ht="20" customHeight="1">
      <c r="A46" s="20" t="inlineStr">
        <is>
          <t>2026-06-24</t>
        </is>
      </c>
      <c r="B46" s="20" t="inlineStr">
        <is>
          <t>01:25:07</t>
        </is>
      </c>
      <c r="C46" s="21" t="inlineStr">
        <is>
          <t>S1 Asian Breakout</t>
        </is>
      </c>
      <c r="D46" s="22" t="inlineStr">
        <is>
          <t>SELL</t>
        </is>
      </c>
      <c r="E46" s="20" t="n">
        <v>4125.93</v>
      </c>
      <c r="F46" s="20" t="n">
        <v>4138.04</v>
      </c>
      <c r="G46" s="20" t="n">
        <v>4107.77</v>
      </c>
      <c r="H46" s="20" t="n">
        <v>4101.71</v>
      </c>
      <c r="I46" s="20" t="n">
        <v>10</v>
      </c>
      <c r="J46" s="20" t="n">
        <v>4115.76</v>
      </c>
      <c r="K46" s="23" t="n">
        <v>10170</v>
      </c>
      <c r="L46" s="20" t="n">
        <v>0.05</v>
      </c>
      <c r="M46" s="23" t="n">
        <v>10169.95</v>
      </c>
      <c r="N46" s="23" t="n">
        <v>0</v>
      </c>
      <c r="O46" s="20" t="n">
        <v>0</v>
      </c>
      <c r="P46" s="23" t="inlineStr">
        <is>
          <t>WIN</t>
        </is>
      </c>
      <c r="Q46" s="24" t="inlineStr"/>
    </row>
    <row r="47" ht="20" customHeight="1">
      <c r="A47" s="20" t="inlineStr">
        <is>
          <t>2026-06-24</t>
        </is>
      </c>
      <c r="B47" s="20" t="inlineStr">
        <is>
          <t>17:55:42</t>
        </is>
      </c>
      <c r="C47" s="21" t="inlineStr">
        <is>
          <t>S1 Asian Breakout</t>
        </is>
      </c>
      <c r="D47" s="22" t="inlineStr">
        <is>
          <t>SELL</t>
        </is>
      </c>
      <c r="E47" s="20" t="n">
        <v>4051.89</v>
      </c>
      <c r="F47" s="20" t="n">
        <v>4064.69</v>
      </c>
      <c r="G47" s="20" t="n">
        <v>4032.69</v>
      </c>
      <c r="H47" s="20" t="n">
        <v>4026.3</v>
      </c>
      <c r="I47" s="20" t="n">
        <v>10</v>
      </c>
      <c r="J47" s="20" t="n">
        <v>4017.79</v>
      </c>
      <c r="K47" s="23" t="n">
        <v>34100</v>
      </c>
      <c r="L47" s="20" t="n">
        <v>0.05</v>
      </c>
      <c r="M47" s="23" t="n">
        <v>34099.95</v>
      </c>
      <c r="N47" s="23" t="n">
        <v>0</v>
      </c>
      <c r="O47" s="20" t="n">
        <v>0</v>
      </c>
      <c r="P47" s="23" t="inlineStr">
        <is>
          <t>WIN</t>
        </is>
      </c>
      <c r="Q47" s="24" t="inlineStr"/>
    </row>
    <row r="48" ht="20" customHeight="1">
      <c r="A48" s="15" t="inlineStr">
        <is>
          <t>2026-06-25</t>
        </is>
      </c>
      <c r="B48" s="15" t="inlineStr">
        <is>
          <t>19:16:23</t>
        </is>
      </c>
      <c r="C48" s="25" t="inlineStr">
        <is>
          <t>S1 Asian Breakout</t>
        </is>
      </c>
      <c r="D48" s="17" t="inlineStr">
        <is>
          <t>BUY</t>
        </is>
      </c>
      <c r="E48" s="15" t="n">
        <v>4024.34</v>
      </c>
      <c r="F48" s="15" t="n">
        <v>4010.58</v>
      </c>
      <c r="G48" s="15" t="n">
        <v>4044.97</v>
      </c>
      <c r="H48" s="15" t="n">
        <v>4051.85</v>
      </c>
      <c r="I48" s="15" t="n">
        <v>10</v>
      </c>
      <c r="J48" s="15" t="n">
        <v>4013.3</v>
      </c>
      <c r="K48" s="18" t="n">
        <v>-11030</v>
      </c>
      <c r="L48" s="15" t="n">
        <v>0.05</v>
      </c>
      <c r="M48" s="18" t="n">
        <v>-11030.05</v>
      </c>
      <c r="N48" s="17" t="n">
        <v>0</v>
      </c>
      <c r="O48" s="15" t="n">
        <v>0</v>
      </c>
      <c r="P48" s="18" t="inlineStr">
        <is>
          <t>LOSS</t>
        </is>
      </c>
      <c r="Q48" s="19" t="inlineStr"/>
    </row>
    <row r="49" ht="20" customHeight="1">
      <c r="A49" s="15" t="inlineStr">
        <is>
          <t>2026-06-26</t>
        </is>
      </c>
      <c r="B49" s="15" t="inlineStr">
        <is>
          <t>01:25:01</t>
        </is>
      </c>
      <c r="C49" s="25" t="inlineStr">
        <is>
          <t>S1 Asian Breakout</t>
        </is>
      </c>
      <c r="D49" s="17" t="inlineStr">
        <is>
          <t>BUY</t>
        </is>
      </c>
      <c r="E49" s="15" t="n">
        <v>4037.86</v>
      </c>
      <c r="F49" s="15" t="n">
        <v>4021.66</v>
      </c>
      <c r="G49" s="15" t="n">
        <v>4062.15</v>
      </c>
      <c r="H49" s="15" t="n">
        <v>4070.25</v>
      </c>
      <c r="I49" s="15" t="n">
        <v>10</v>
      </c>
      <c r="J49" s="15" t="n">
        <v>4025.5</v>
      </c>
      <c r="K49" s="18" t="n">
        <v>-12355</v>
      </c>
      <c r="L49" s="15" t="n">
        <v>0.05</v>
      </c>
      <c r="M49" s="18" t="n">
        <v>-12355.05</v>
      </c>
      <c r="N49" s="17" t="n">
        <v>0</v>
      </c>
      <c r="O49" s="15" t="n">
        <v>0</v>
      </c>
      <c r="P49" s="18" t="inlineStr">
        <is>
          <t>LOSS</t>
        </is>
      </c>
      <c r="Q49" s="19" t="inlineStr"/>
    </row>
    <row r="50" ht="20" customHeight="1">
      <c r="A50" s="15" t="inlineStr">
        <is>
          <t>2026-06-30</t>
        </is>
      </c>
      <c r="B50" s="15" t="inlineStr">
        <is>
          <t>19:07:10</t>
        </is>
      </c>
      <c r="C50" s="25" t="inlineStr">
        <is>
          <t>S1 Asian Breakout</t>
        </is>
      </c>
      <c r="D50" s="17" t="inlineStr">
        <is>
          <t>BUY</t>
        </is>
      </c>
      <c r="E50" s="15" t="n">
        <v>4025.73</v>
      </c>
      <c r="F50" s="15" t="n">
        <v>4013.92</v>
      </c>
      <c r="G50" s="15" t="n">
        <v>4043.43</v>
      </c>
      <c r="H50" s="15" t="n">
        <v>4049.33</v>
      </c>
      <c r="I50" s="15" t="n">
        <v>10</v>
      </c>
      <c r="J50" s="15" t="n">
        <v>4021.76</v>
      </c>
      <c r="K50" s="18" t="n">
        <v>-3965</v>
      </c>
      <c r="L50" s="15" t="n">
        <v>0.05</v>
      </c>
      <c r="M50" s="18" t="n">
        <v>-3965.05</v>
      </c>
      <c r="N50" s="17" t="n">
        <v>0</v>
      </c>
      <c r="O50" s="15" t="n">
        <v>0</v>
      </c>
      <c r="P50" s="18" t="inlineStr">
        <is>
          <t>LOSS</t>
        </is>
      </c>
      <c r="Q50" s="19" t="inlineStr"/>
    </row>
    <row r="51" ht="20" customHeight="1">
      <c r="A51" s="15" t="inlineStr">
        <is>
          <t>2026-07-01</t>
        </is>
      </c>
      <c r="B51" s="15" t="inlineStr">
        <is>
          <t>01:25:02</t>
        </is>
      </c>
      <c r="C51" s="25" t="inlineStr">
        <is>
          <t>S1 Asian Breakout</t>
        </is>
      </c>
      <c r="D51" s="17" t="inlineStr">
        <is>
          <t>BUY</t>
        </is>
      </c>
      <c r="E51" s="15" t="n">
        <v>4025.94</v>
      </c>
      <c r="F51" s="15" t="n">
        <v>4011.59</v>
      </c>
      <c r="G51" s="15" t="n">
        <v>4047.47</v>
      </c>
      <c r="H51" s="15" t="n">
        <v>4054.64</v>
      </c>
      <c r="I51" s="15" t="n">
        <v>10</v>
      </c>
      <c r="J51" s="15" t="n">
        <v>4016.35</v>
      </c>
      <c r="K51" s="18" t="n">
        <v>-9590</v>
      </c>
      <c r="L51" s="15" t="n">
        <v>0.05</v>
      </c>
      <c r="M51" s="18" t="n">
        <v>-9590.049999999999</v>
      </c>
      <c r="N51" s="17" t="n">
        <v>0</v>
      </c>
      <c r="O51" s="15" t="n">
        <v>0</v>
      </c>
      <c r="P51" s="18" t="inlineStr">
        <is>
          <t>LOSS</t>
        </is>
      </c>
      <c r="Q51" s="19" t="inlineStr"/>
    </row>
    <row r="52" ht="20" customHeight="1">
      <c r="A52" s="15" t="inlineStr">
        <is>
          <t>2026-07-01</t>
        </is>
      </c>
      <c r="B52" s="15" t="inlineStr">
        <is>
          <t>17:38:03</t>
        </is>
      </c>
      <c r="C52" s="25" t="inlineStr">
        <is>
          <t>S1 Asian Breakout</t>
        </is>
      </c>
      <c r="D52" s="17" t="inlineStr">
        <is>
          <t>BUY</t>
        </is>
      </c>
      <c r="E52" s="15" t="n">
        <v>4034.25</v>
      </c>
      <c r="F52" s="15" t="n">
        <v>4021.98</v>
      </c>
      <c r="G52" s="15" t="n">
        <v>4052.65</v>
      </c>
      <c r="H52" s="15" t="n">
        <v>4058.78</v>
      </c>
      <c r="I52" s="15" t="n">
        <v>10</v>
      </c>
      <c r="J52" s="15" t="n">
        <v>4022.55</v>
      </c>
      <c r="K52" s="18" t="n">
        <v>-11700</v>
      </c>
      <c r="L52" s="15" t="n">
        <v>0.05</v>
      </c>
      <c r="M52" s="18" t="n">
        <v>-11700.05</v>
      </c>
      <c r="N52" s="17" t="n">
        <v>0</v>
      </c>
      <c r="O52" s="15" t="n">
        <v>0</v>
      </c>
      <c r="P52" s="18" t="inlineStr">
        <is>
          <t>LOSS</t>
        </is>
      </c>
      <c r="Q52" s="19" t="inlineStr"/>
    </row>
    <row r="53" ht="20" customHeight="1">
      <c r="A53" s="20" t="inlineStr">
        <is>
          <t>2026-07-02</t>
        </is>
      </c>
      <c r="B53" s="20" t="inlineStr">
        <is>
          <t>18:01:10</t>
        </is>
      </c>
      <c r="C53" s="21" t="inlineStr">
        <is>
          <t>S1 Asian Breakout</t>
        </is>
      </c>
      <c r="D53" s="23" t="inlineStr">
        <is>
          <t>BUY</t>
        </is>
      </c>
      <c r="E53" s="20" t="n">
        <v>4071.25</v>
      </c>
      <c r="F53" s="20" t="n">
        <v>4060.88</v>
      </c>
      <c r="G53" s="20" t="n">
        <v>4086.81</v>
      </c>
      <c r="H53" s="20" t="n">
        <v>4091.99</v>
      </c>
      <c r="I53" s="20" t="n">
        <v>10</v>
      </c>
      <c r="J53" s="20" t="n">
        <v>4120.1</v>
      </c>
      <c r="K53" s="23" t="n">
        <v>48855</v>
      </c>
      <c r="L53" s="20" t="n">
        <v>0.05</v>
      </c>
      <c r="M53" s="23" t="n">
        <v>48854.95</v>
      </c>
      <c r="N53" s="23" t="n">
        <v>0</v>
      </c>
      <c r="O53" s="20" t="n">
        <v>0</v>
      </c>
      <c r="P53" s="23" t="inlineStr">
        <is>
          <t>WIN</t>
        </is>
      </c>
      <c r="Q53" s="24" t="inlineStr"/>
    </row>
    <row r="54" ht="20" customHeight="1">
      <c r="A54" s="20" t="inlineStr">
        <is>
          <t>2026-07-03</t>
        </is>
      </c>
      <c r="B54" s="20" t="inlineStr">
        <is>
          <t>01:25:01</t>
        </is>
      </c>
      <c r="C54" s="21" t="inlineStr">
        <is>
          <t>S1 Asian Breakout</t>
        </is>
      </c>
      <c r="D54" s="23" t="inlineStr">
        <is>
          <t>BUY</t>
        </is>
      </c>
      <c r="E54" s="20" t="n">
        <v>4114.54</v>
      </c>
      <c r="F54" s="20" t="n">
        <v>4100.36</v>
      </c>
      <c r="G54" s="20" t="n">
        <v>4135.8</v>
      </c>
      <c r="H54" s="20" t="n">
        <v>4142.89</v>
      </c>
      <c r="I54" s="20" t="n">
        <v>10</v>
      </c>
      <c r="J54" s="20" t="n">
        <v>4123.65</v>
      </c>
      <c r="K54" s="23" t="n">
        <v>9110</v>
      </c>
      <c r="L54" s="20" t="n">
        <v>0.05</v>
      </c>
      <c r="M54" s="23" t="n">
        <v>9109.950000000001</v>
      </c>
      <c r="N54" s="23" t="n">
        <v>0</v>
      </c>
      <c r="O54" s="20" t="n">
        <v>0</v>
      </c>
      <c r="P54" s="23" t="inlineStr">
        <is>
          <t>WIN</t>
        </is>
      </c>
      <c r="Q54" s="24" t="inlineStr"/>
    </row>
    <row r="55" ht="20" customHeight="1">
      <c r="A55" s="15" t="inlineStr">
        <is>
          <t>2026-07-07</t>
        </is>
      </c>
      <c r="B55" s="15" t="inlineStr">
        <is>
          <t>19:29:43</t>
        </is>
      </c>
      <c r="C55" s="25" t="inlineStr">
        <is>
          <t>S1 Asian Breakout</t>
        </is>
      </c>
      <c r="D55" s="17" t="inlineStr">
        <is>
          <t>BUY</t>
        </is>
      </c>
      <c r="E55" s="15" t="n">
        <v>4169.36</v>
      </c>
      <c r="F55" s="15" t="n">
        <v>4156.96</v>
      </c>
      <c r="G55" s="15" t="n">
        <v>4187.96</v>
      </c>
      <c r="H55" s="15" t="n">
        <v>4194.16</v>
      </c>
      <c r="I55" s="15" t="n">
        <v>10</v>
      </c>
      <c r="J55" s="15" t="n">
        <v>4157.95</v>
      </c>
      <c r="K55" s="18" t="n">
        <v>-11410</v>
      </c>
      <c r="L55" s="15" t="n">
        <v>0.05</v>
      </c>
      <c r="M55" s="18" t="n">
        <v>-11410.05</v>
      </c>
      <c r="N55" s="17" t="n">
        <v>0</v>
      </c>
      <c r="O55" s="15" t="n">
        <v>0</v>
      </c>
      <c r="P55" s="18" t="inlineStr">
        <is>
          <t>LOSS</t>
        </is>
      </c>
      <c r="Q55" s="19" t="inlineStr"/>
    </row>
    <row r="56" ht="20" customHeight="1">
      <c r="A56" s="20" t="inlineStr">
        <is>
          <t>2026-07-08</t>
        </is>
      </c>
      <c r="B56" s="20" t="inlineStr">
        <is>
          <t>00:41:42</t>
        </is>
      </c>
      <c r="C56" s="21" t="inlineStr">
        <is>
          <t>S1 Asian Breakout</t>
        </is>
      </c>
      <c r="D56" s="22" t="inlineStr">
        <is>
          <t>SELL</t>
        </is>
      </c>
      <c r="E56" s="20" t="n">
        <v>4125.68</v>
      </c>
      <c r="F56" s="20" t="n">
        <v>4135.54</v>
      </c>
      <c r="G56" s="20" t="n">
        <v>4110.89</v>
      </c>
      <c r="H56" s="20" t="n">
        <v>4105.96</v>
      </c>
      <c r="I56" s="20" t="n">
        <v>10</v>
      </c>
      <c r="J56" s="20" t="n">
        <v>4106.22</v>
      </c>
      <c r="K56" s="23" t="n">
        <v>19465</v>
      </c>
      <c r="L56" s="20" t="n">
        <v>0.05</v>
      </c>
      <c r="M56" s="23" t="n">
        <v>19464.95</v>
      </c>
      <c r="N56" s="23" t="n">
        <v>0</v>
      </c>
      <c r="O56" s="20" t="n">
        <v>0</v>
      </c>
      <c r="P56" s="23" t="inlineStr">
        <is>
          <t>WIN</t>
        </is>
      </c>
      <c r="Q56" s="24" t="inlineStr"/>
    </row>
    <row r="57" ht="20" customHeight="1">
      <c r="A57" s="15" t="inlineStr">
        <is>
          <t>2026-07-08</t>
        </is>
      </c>
      <c r="B57" s="15" t="inlineStr">
        <is>
          <t>01:25:01</t>
        </is>
      </c>
      <c r="C57" s="25" t="inlineStr">
        <is>
          <t>S1 Asian Breakout</t>
        </is>
      </c>
      <c r="D57" s="18" t="inlineStr">
        <is>
          <t>SELL</t>
        </is>
      </c>
      <c r="E57" s="15" t="n">
        <v>4104.29</v>
      </c>
      <c r="F57" s="15" t="n">
        <v>4116.07</v>
      </c>
      <c r="G57" s="15" t="n">
        <v>4086.63</v>
      </c>
      <c r="H57" s="15" t="n">
        <v>4080.74</v>
      </c>
      <c r="I57" s="15" t="n">
        <v>10</v>
      </c>
      <c r="J57" s="15" t="n">
        <v>4115.16</v>
      </c>
      <c r="K57" s="18" t="n">
        <v>-10870</v>
      </c>
      <c r="L57" s="15" t="n">
        <v>0.05</v>
      </c>
      <c r="M57" s="18" t="n">
        <v>-10870.05</v>
      </c>
      <c r="N57" s="17" t="n">
        <v>0</v>
      </c>
      <c r="O57" s="15" t="n">
        <v>0</v>
      </c>
      <c r="P57" s="18" t="inlineStr">
        <is>
          <t>LOSS</t>
        </is>
      </c>
      <c r="Q57" s="19" t="inlineStr"/>
    </row>
    <row r="58" ht="20" customHeight="1">
      <c r="A58" s="20" t="inlineStr">
        <is>
          <t>2026-07-14</t>
        </is>
      </c>
      <c r="B58" s="20" t="inlineStr">
        <is>
          <t>18:00:47</t>
        </is>
      </c>
      <c r="C58" s="21" t="inlineStr">
        <is>
          <t>S1 Asian Breakout</t>
        </is>
      </c>
      <c r="D58" s="23" t="inlineStr">
        <is>
          <t>BUY</t>
        </is>
      </c>
      <c r="E58" s="20" t="n">
        <v>4021.28</v>
      </c>
      <c r="F58" s="20" t="n">
        <v>4012.23</v>
      </c>
      <c r="G58" s="20" t="n">
        <v>4034.84</v>
      </c>
      <c r="H58" s="20" t="n">
        <v>4039.37</v>
      </c>
      <c r="I58" s="20" t="n">
        <v>10</v>
      </c>
      <c r="J58" s="20" t="n">
        <v>4081.35</v>
      </c>
      <c r="K58" s="23" t="n">
        <v>60075</v>
      </c>
      <c r="L58" s="20" t="n">
        <v>0.05</v>
      </c>
      <c r="M58" s="23" t="n">
        <v>60074.95</v>
      </c>
      <c r="N58" s="23" t="n">
        <v>0</v>
      </c>
      <c r="O58" s="20" t="n">
        <v>0</v>
      </c>
      <c r="P58" s="23" t="inlineStr">
        <is>
          <t>WIN</t>
        </is>
      </c>
      <c r="Q58" s="24" t="inlineStr"/>
    </row>
    <row r="59" ht="20" customHeight="1">
      <c r="A59" s="15" t="inlineStr">
        <is>
          <t>2026-07-15</t>
        </is>
      </c>
      <c r="B59" s="15" t="inlineStr">
        <is>
          <t>00:11:58</t>
        </is>
      </c>
      <c r="C59" s="25" t="inlineStr">
        <is>
          <t>S1 Asian Breakout</t>
        </is>
      </c>
      <c r="D59" s="17" t="inlineStr">
        <is>
          <t>BUY</t>
        </is>
      </c>
      <c r="E59" s="15" t="n">
        <v>4063.05</v>
      </c>
      <c r="F59" s="15" t="n">
        <v>4049.79</v>
      </c>
      <c r="G59" s="15" t="n">
        <v>4082.93</v>
      </c>
      <c r="H59" s="15" t="n">
        <v>4089.56</v>
      </c>
      <c r="I59" s="15" t="n">
        <v>10</v>
      </c>
      <c r="J59" s="15" t="n">
        <v>4047.2</v>
      </c>
      <c r="K59" s="18" t="n">
        <v>-15845</v>
      </c>
      <c r="L59" s="15" t="n">
        <v>0.05</v>
      </c>
      <c r="M59" s="18" t="n">
        <v>-15845.05</v>
      </c>
      <c r="N59" s="17" t="n">
        <v>0</v>
      </c>
      <c r="O59" s="15" t="n">
        <v>0</v>
      </c>
      <c r="P59" s="18" t="inlineStr">
        <is>
          <t>LOSS</t>
        </is>
      </c>
      <c r="Q59" s="19" t="inlineStr"/>
    </row>
    <row r="60" ht="20" customHeight="1">
      <c r="A60" s="15" t="inlineStr">
        <is>
          <t>2026-07-15</t>
        </is>
      </c>
      <c r="B60" s="15" t="inlineStr">
        <is>
          <t>17:12:02</t>
        </is>
      </c>
      <c r="C60" s="25" t="inlineStr">
        <is>
          <t>S1 Asian Breakout</t>
        </is>
      </c>
      <c r="D60" s="18" t="inlineStr">
        <is>
          <t>SELL</t>
        </is>
      </c>
      <c r="E60" s="15" t="n">
        <v>4029.06</v>
      </c>
      <c r="F60" s="15" t="n">
        <v>4037.76</v>
      </c>
      <c r="G60" s="15" t="n">
        <v>4016.01</v>
      </c>
      <c r="H60" s="15" t="n">
        <v>4011.66</v>
      </c>
      <c r="I60" s="15" t="n">
        <v>10</v>
      </c>
      <c r="J60" s="15" t="n">
        <v>4038.18</v>
      </c>
      <c r="K60" s="18" t="n">
        <v>-9115</v>
      </c>
      <c r="L60" s="15" t="n">
        <v>0.05</v>
      </c>
      <c r="M60" s="18" t="n">
        <v>-9115.049999999999</v>
      </c>
      <c r="N60" s="17" t="n">
        <v>0</v>
      </c>
      <c r="O60" s="15" t="n">
        <v>0</v>
      </c>
      <c r="P60" s="18" t="inlineStr">
        <is>
          <t>LOSS</t>
        </is>
      </c>
      <c r="Q60" s="19" t="inlineStr"/>
    </row>
    <row r="61" ht="20" customHeight="1">
      <c r="A61" s="15" t="inlineStr">
        <is>
          <t>2026-07-15</t>
        </is>
      </c>
      <c r="B61" s="15" t="inlineStr">
        <is>
          <t>22:59:50</t>
        </is>
      </c>
      <c r="C61" s="25" t="inlineStr">
        <is>
          <t>S1 Asian Breakout</t>
        </is>
      </c>
      <c r="D61" s="18" t="inlineStr">
        <is>
          <t>SELL</t>
        </is>
      </c>
      <c r="E61" s="15" t="n">
        <v>4028.47</v>
      </c>
      <c r="F61" s="15" t="n">
        <v>4042.39</v>
      </c>
      <c r="G61" s="15" t="n">
        <v>4007.59</v>
      </c>
      <c r="H61" s="15" t="n">
        <v>4000.62</v>
      </c>
      <c r="I61" s="15" t="n">
        <v>10</v>
      </c>
      <c r="J61" s="15" t="n">
        <v>4047.7</v>
      </c>
      <c r="K61" s="18" t="n">
        <v>-19235</v>
      </c>
      <c r="L61" s="15" t="n">
        <v>0.05</v>
      </c>
      <c r="M61" s="18" t="n">
        <v>-19235.05</v>
      </c>
      <c r="N61" s="17" t="n">
        <v>0</v>
      </c>
      <c r="O61" s="15" t="n">
        <v>0</v>
      </c>
      <c r="P61" s="18" t="inlineStr">
        <is>
          <t>LOSS</t>
        </is>
      </c>
      <c r="Q61" s="19" t="inlineStr"/>
    </row>
    <row r="62" ht="20" customHeight="1">
      <c r="A62" s="15" t="inlineStr">
        <is>
          <t>2026-07-16</t>
        </is>
      </c>
      <c r="B62" s="15" t="inlineStr">
        <is>
          <t>17:05:20</t>
        </is>
      </c>
      <c r="C62" s="25" t="inlineStr">
        <is>
          <t>S1 Asian Breakout</t>
        </is>
      </c>
      <c r="D62" s="18" t="inlineStr">
        <is>
          <t>SELL</t>
        </is>
      </c>
      <c r="E62" s="15" t="n">
        <v>4023.07</v>
      </c>
      <c r="F62" s="15" t="n">
        <v>4030.24</v>
      </c>
      <c r="G62" s="15" t="n">
        <v>4012.33</v>
      </c>
      <c r="H62" s="15" t="n">
        <v>4008.75</v>
      </c>
      <c r="I62" s="15" t="n">
        <v>10</v>
      </c>
      <c r="J62" s="15" t="n">
        <v>4029.78</v>
      </c>
      <c r="K62" s="18" t="n">
        <v>-6705</v>
      </c>
      <c r="L62" s="15" t="n">
        <v>0.05</v>
      </c>
      <c r="M62" s="18" t="n">
        <v>-6705.05</v>
      </c>
      <c r="N62" s="17" t="n">
        <v>0</v>
      </c>
      <c r="O62" s="15" t="n">
        <v>0</v>
      </c>
      <c r="P62" s="18" t="inlineStr">
        <is>
          <t>LOSS</t>
        </is>
      </c>
      <c r="Q62" s="19" t="inlineStr"/>
    </row>
    <row r="63" ht="20" customHeight="1">
      <c r="A63" s="20" t="inlineStr">
        <is>
          <t>2026-07-21</t>
        </is>
      </c>
      <c r="B63" s="20" t="inlineStr">
        <is>
          <t>23:56:12</t>
        </is>
      </c>
      <c r="C63" s="21" t="inlineStr">
        <is>
          <t>S1 Asian Breakout</t>
        </is>
      </c>
      <c r="D63" s="23" t="inlineStr">
        <is>
          <t>BUY</t>
        </is>
      </c>
      <c r="E63" s="20" t="n">
        <v>4070.61</v>
      </c>
      <c r="F63" s="20" t="n">
        <v>4063.26</v>
      </c>
      <c r="G63" s="20" t="n">
        <v>4081.64</v>
      </c>
      <c r="H63" s="20" t="n">
        <v>4085.32</v>
      </c>
      <c r="I63" s="20" t="n">
        <v>10</v>
      </c>
      <c r="J63" s="20" t="n">
        <v>4086.19</v>
      </c>
      <c r="K63" s="23" t="n">
        <v>15575</v>
      </c>
      <c r="L63" s="20" t="n">
        <v>0.05</v>
      </c>
      <c r="M63" s="23" t="n">
        <v>15574.95</v>
      </c>
      <c r="N63" s="23" t="n">
        <v>0</v>
      </c>
      <c r="O63" s="20" t="n">
        <v>0</v>
      </c>
      <c r="P63" s="23" t="inlineStr">
        <is>
          <t>WIN</t>
        </is>
      </c>
      <c r="Q63" s="24" t="inlineStr"/>
    </row>
    <row r="64" ht="20" customHeight="1">
      <c r="A64" s="15" t="inlineStr">
        <is>
          <t>2026-07-22</t>
        </is>
      </c>
      <c r="B64" s="15" t="inlineStr">
        <is>
          <t>01:25:01</t>
        </is>
      </c>
      <c r="C64" s="25" t="inlineStr">
        <is>
          <t>S1 Asian Breakout</t>
        </is>
      </c>
      <c r="D64" s="17" t="inlineStr">
        <is>
          <t>BUY</t>
        </is>
      </c>
      <c r="E64" s="15" t="n">
        <v>4085.85</v>
      </c>
      <c r="F64" s="15" t="n">
        <v>4077.2</v>
      </c>
      <c r="G64" s="15" t="n">
        <v>4098.83</v>
      </c>
      <c r="H64" s="15" t="n">
        <v>4103.16</v>
      </c>
      <c r="I64" s="15" t="n">
        <v>10</v>
      </c>
      <c r="J64" s="15" t="n">
        <v>4084.4</v>
      </c>
      <c r="K64" s="18" t="n">
        <v>-1450</v>
      </c>
      <c r="L64" s="15" t="n">
        <v>0.05</v>
      </c>
      <c r="M64" s="18" t="n">
        <v>-1450.05</v>
      </c>
      <c r="N64" s="17" t="n">
        <v>0</v>
      </c>
      <c r="O64" s="15" t="n">
        <v>0</v>
      </c>
      <c r="P64" s="18" t="inlineStr">
        <is>
          <t>LOSS</t>
        </is>
      </c>
      <c r="Q64" s="19" t="inlineStr"/>
    </row>
    <row r="65" ht="20" customHeight="1">
      <c r="A65" s="15" t="inlineStr">
        <is>
          <t>2026-07-22</t>
        </is>
      </c>
      <c r="B65" s="15" t="inlineStr">
        <is>
          <t>18:17:28</t>
        </is>
      </c>
      <c r="C65" s="25" t="inlineStr">
        <is>
          <t>S1 Asian Breakout</t>
        </is>
      </c>
      <c r="D65" s="17" t="inlineStr">
        <is>
          <t>BUY</t>
        </is>
      </c>
      <c r="E65" s="15" t="n">
        <v>4131.82</v>
      </c>
      <c r="F65" s="15" t="n">
        <v>4123.31</v>
      </c>
      <c r="G65" s="15" t="n">
        <v>4144.59</v>
      </c>
      <c r="H65" s="15" t="n">
        <v>4148.84</v>
      </c>
      <c r="I65" s="15" t="n">
        <v>10</v>
      </c>
      <c r="J65" s="15" t="n">
        <v>4121.67</v>
      </c>
      <c r="K65" s="18" t="n">
        <v>-10150</v>
      </c>
      <c r="L65" s="15" t="n">
        <v>0.05</v>
      </c>
      <c r="M65" s="18" t="n">
        <v>-10150.05</v>
      </c>
      <c r="N65" s="17" t="n">
        <v>0</v>
      </c>
      <c r="O65" s="15" t="n">
        <v>0</v>
      </c>
      <c r="P65" s="18" t="inlineStr">
        <is>
          <t>LOSS</t>
        </is>
      </c>
      <c r="Q65" s="19" t="inlineStr"/>
    </row>
    <row r="66" ht="20" customHeight="1">
      <c r="A66" s="20" t="inlineStr">
        <is>
          <t>2026-07-29</t>
        </is>
      </c>
      <c r="B66" s="20" t="inlineStr">
        <is>
          <t>01:25:02</t>
        </is>
      </c>
      <c r="C66" s="21" t="inlineStr">
        <is>
          <t>S1 Asian Breakout</t>
        </is>
      </c>
      <c r="D66" s="22" t="inlineStr">
        <is>
          <t>SELL</t>
        </is>
      </c>
      <c r="E66" s="20" t="n">
        <v>4027.14</v>
      </c>
      <c r="F66" s="20" t="n">
        <v>4036.53</v>
      </c>
      <c r="G66" s="20" t="n">
        <v>4013.06</v>
      </c>
      <c r="H66" s="20" t="n">
        <v>4008.36</v>
      </c>
      <c r="I66" s="20" t="n">
        <v>10</v>
      </c>
      <c r="J66" s="20" t="n">
        <v>4027.06</v>
      </c>
      <c r="K66" s="23" t="n">
        <v>80</v>
      </c>
      <c r="L66" s="20" t="n">
        <v>0.05</v>
      </c>
      <c r="M66" s="23" t="n">
        <v>79.95</v>
      </c>
      <c r="N66" s="23" t="n">
        <v>0</v>
      </c>
      <c r="O66" s="20" t="n">
        <v>0</v>
      </c>
      <c r="P66" s="23" t="inlineStr">
        <is>
          <t>WIN</t>
        </is>
      </c>
      <c r="Q66" s="24" t="inlineStr"/>
    </row>
    <row r="67" ht="20" customHeight="1">
      <c r="A67" s="15" t="inlineStr">
        <is>
          <t>2026-07-30</t>
        </is>
      </c>
      <c r="B67" s="15" t="inlineStr">
        <is>
          <t>15:38:20</t>
        </is>
      </c>
      <c r="C67" s="25" t="inlineStr">
        <is>
          <t>S1 Asian Breakout</t>
        </is>
      </c>
      <c r="D67" s="18" t="inlineStr">
        <is>
          <t>SELL</t>
        </is>
      </c>
      <c r="E67" s="15" t="n">
        <v>4007.32</v>
      </c>
      <c r="F67" s="15" t="n">
        <v>4018.79</v>
      </c>
      <c r="G67" s="15" t="n">
        <v>3990.12</v>
      </c>
      <c r="H67" s="15" t="n">
        <v>3984.39</v>
      </c>
      <c r="I67" s="15" t="n">
        <v>10</v>
      </c>
      <c r="J67" s="15" t="n">
        <v>4070.32</v>
      </c>
      <c r="K67" s="18" t="n">
        <v>-63000</v>
      </c>
      <c r="L67" s="15" t="n">
        <v>0.05</v>
      </c>
      <c r="M67" s="18" t="n">
        <v>-63000.05</v>
      </c>
      <c r="N67" s="17" t="n">
        <v>0</v>
      </c>
      <c r="O67" s="15" t="n">
        <v>0</v>
      </c>
      <c r="P67" s="18" t="inlineStr">
        <is>
          <t>LOSS</t>
        </is>
      </c>
      <c r="Q67" s="19" t="inlineStr"/>
    </row>
    <row r="68" ht="20" customHeight="1">
      <c r="A68" s="15" t="inlineStr">
        <is>
          <t>2026-07-31</t>
        </is>
      </c>
      <c r="B68" s="15" t="inlineStr">
        <is>
          <t>01:25:02</t>
        </is>
      </c>
      <c r="C68" s="25" t="inlineStr">
        <is>
          <t>S1 Asian Breakout</t>
        </is>
      </c>
      <c r="D68" s="17" t="inlineStr">
        <is>
          <t>BUY</t>
        </is>
      </c>
      <c r="E68" s="15" t="n">
        <v>4118.5</v>
      </c>
      <c r="F68" s="15" t="n">
        <v>4096.06</v>
      </c>
      <c r="G68" s="15" t="n">
        <v>4152.14</v>
      </c>
      <c r="H68" s="15" t="n">
        <v>4163.36</v>
      </c>
      <c r="I68" s="15" t="n">
        <v>10</v>
      </c>
      <c r="J68" s="15" t="n">
        <v>4109.5</v>
      </c>
      <c r="K68" s="18" t="n">
        <v>-8995</v>
      </c>
      <c r="L68" s="15" t="n">
        <v>0.05</v>
      </c>
      <c r="M68" s="18" t="n">
        <v>-8995.049999999999</v>
      </c>
      <c r="N68" s="17" t="n">
        <v>0</v>
      </c>
      <c r="O68" s="15" t="n">
        <v>0</v>
      </c>
      <c r="P68" s="18" t="inlineStr">
        <is>
          <t>LOSS</t>
        </is>
      </c>
      <c r="Q68" s="19" t="inlineStr"/>
    </row>
    <row r="69" ht="20" customHeight="1">
      <c r="A69" s="20" t="inlineStr">
        <is>
          <t>2026-08-04</t>
        </is>
      </c>
      <c r="B69" s="20" t="inlineStr">
        <is>
          <t>19:19:33</t>
        </is>
      </c>
      <c r="C69" s="21" t="inlineStr">
        <is>
          <t>S1 Asian Breakout</t>
        </is>
      </c>
      <c r="D69" s="23" t="inlineStr">
        <is>
          <t>BUY</t>
        </is>
      </c>
      <c r="E69" s="20" t="n">
        <v>4069.96</v>
      </c>
      <c r="F69" s="20" t="n">
        <v>4058.64</v>
      </c>
      <c r="G69" s="20" t="n">
        <v>4086.95</v>
      </c>
      <c r="H69" s="20" t="n">
        <v>4092.61</v>
      </c>
      <c r="I69" s="20" t="n">
        <v>10</v>
      </c>
      <c r="J69" s="20" t="n">
        <v>4092.77</v>
      </c>
      <c r="K69" s="23" t="n">
        <v>22810</v>
      </c>
      <c r="L69" s="20" t="n">
        <v>0.05</v>
      </c>
      <c r="M69" s="23" t="n">
        <v>22809.95</v>
      </c>
      <c r="N69" s="23" t="n">
        <v>0</v>
      </c>
      <c r="O69" s="20" t="n">
        <v>0</v>
      </c>
      <c r="P69" s="23" t="inlineStr">
        <is>
          <t>WIN</t>
        </is>
      </c>
      <c r="Q69" s="24" t="inlineStr"/>
    </row>
    <row r="70" ht="20" customHeight="1">
      <c r="A70" s="15" t="inlineStr">
        <is>
          <t>2026-08-06</t>
        </is>
      </c>
      <c r="B70" s="15" t="inlineStr">
        <is>
          <t>01:25:02</t>
        </is>
      </c>
      <c r="C70" s="25" t="inlineStr">
        <is>
          <t>S1 Asian Breakout</t>
        </is>
      </c>
      <c r="D70" s="17" t="inlineStr">
        <is>
          <t>BUY</t>
        </is>
      </c>
      <c r="E70" s="15" t="n">
        <v>4255.57</v>
      </c>
      <c r="F70" s="15" t="n">
        <v>4239.3</v>
      </c>
      <c r="G70" s="15" t="n">
        <v>4279.98</v>
      </c>
      <c r="H70" s="15" t="n">
        <v>4288.12</v>
      </c>
      <c r="I70" s="15" t="n">
        <v>10</v>
      </c>
      <c r="J70" s="15" t="n">
        <v>4249.09</v>
      </c>
      <c r="K70" s="18" t="n">
        <v>-6480</v>
      </c>
      <c r="L70" s="15" t="n">
        <v>0.05</v>
      </c>
      <c r="M70" s="18" t="n">
        <v>-6480.05</v>
      </c>
      <c r="N70" s="17" t="n">
        <v>0</v>
      </c>
      <c r="O70" s="15" t="n">
        <v>0</v>
      </c>
      <c r="P70" s="18" t="inlineStr">
        <is>
          <t>LOSS</t>
        </is>
      </c>
      <c r="Q70" s="19" t="inlineStr"/>
    </row>
    <row r="71" ht="20" customHeight="1">
      <c r="A71" s="15" t="inlineStr">
        <is>
          <t>2026-08-06</t>
        </is>
      </c>
      <c r="B71" s="15" t="inlineStr">
        <is>
          <t>18:51:09</t>
        </is>
      </c>
      <c r="C71" s="25" t="inlineStr">
        <is>
          <t>S1 Asian Breakout</t>
        </is>
      </c>
      <c r="D71" s="18" t="inlineStr">
        <is>
          <t>SELL</t>
        </is>
      </c>
      <c r="E71" s="15" t="n">
        <v>4233.75</v>
      </c>
      <c r="F71" s="15" t="n">
        <v>4248.22</v>
      </c>
      <c r="G71" s="15" t="n">
        <v>4212.05</v>
      </c>
      <c r="H71" s="15" t="n">
        <v>4204.81</v>
      </c>
      <c r="I71" s="15" t="n">
        <v>10</v>
      </c>
      <c r="J71" s="15" t="n">
        <v>4247.18</v>
      </c>
      <c r="K71" s="18" t="n">
        <v>-13430</v>
      </c>
      <c r="L71" s="15" t="n">
        <v>0.05</v>
      </c>
      <c r="M71" s="18" t="n">
        <v>-13430.05</v>
      </c>
      <c r="N71" s="17" t="n">
        <v>0</v>
      </c>
      <c r="O71" s="15" t="n">
        <v>0</v>
      </c>
      <c r="P71" s="18" t="inlineStr">
        <is>
          <t>LOSS</t>
        </is>
      </c>
      <c r="Q71" s="19" t="inlineStr"/>
    </row>
    <row r="72" ht="20" customHeight="1">
      <c r="A72" s="15" t="inlineStr">
        <is>
          <t>2026-08-12</t>
        </is>
      </c>
      <c r="B72" s="15" t="inlineStr">
        <is>
          <t>17:53:35</t>
        </is>
      </c>
      <c r="C72" s="25" t="inlineStr">
        <is>
          <t>S1 Asian Breakout</t>
        </is>
      </c>
      <c r="D72" s="17" t="inlineStr">
        <is>
          <t>BUY</t>
        </is>
      </c>
      <c r="E72" s="15" t="n">
        <v>4415.02</v>
      </c>
      <c r="F72" s="15" t="n">
        <v>4405.88</v>
      </c>
      <c r="G72" s="15" t="n">
        <v>4428.75</v>
      </c>
      <c r="H72" s="15" t="n">
        <v>4433.32</v>
      </c>
      <c r="I72" s="15" t="n">
        <v>10</v>
      </c>
      <c r="J72" s="15" t="n">
        <v>4408.91</v>
      </c>
      <c r="K72" s="18" t="n">
        <v>-6115</v>
      </c>
      <c r="L72" s="15" t="n">
        <v>0.05</v>
      </c>
      <c r="M72" s="18" t="n">
        <v>-6115.05</v>
      </c>
      <c r="N72" s="17" t="n">
        <v>0</v>
      </c>
      <c r="O72" s="15" t="n">
        <v>0</v>
      </c>
      <c r="P72" s="18" t="inlineStr">
        <is>
          <t>LOSS</t>
        </is>
      </c>
      <c r="Q72" s="19" t="inlineStr"/>
    </row>
    <row r="73" ht="20" customHeight="1">
      <c r="A73" s="15" t="inlineStr">
        <is>
          <t>2026-08-13</t>
        </is>
      </c>
      <c r="B73" s="15" t="inlineStr">
        <is>
          <t>01:25:02</t>
        </is>
      </c>
      <c r="C73" s="25" t="inlineStr">
        <is>
          <t>S1 Asian Breakout</t>
        </is>
      </c>
      <c r="D73" s="17" t="inlineStr">
        <is>
          <t>BUY</t>
        </is>
      </c>
      <c r="E73" s="15" t="n">
        <v>4415.3</v>
      </c>
      <c r="F73" s="15" t="n">
        <v>4402.47</v>
      </c>
      <c r="G73" s="15" t="n">
        <v>4434.55</v>
      </c>
      <c r="H73" s="15" t="n">
        <v>4440.97</v>
      </c>
      <c r="I73" s="15" t="n">
        <v>10</v>
      </c>
      <c r="J73" s="15" t="n">
        <v>4411.38</v>
      </c>
      <c r="K73" s="18" t="n">
        <v>-3920</v>
      </c>
      <c r="L73" s="15" t="n">
        <v>0.05</v>
      </c>
      <c r="M73" s="18" t="n">
        <v>-3920.05</v>
      </c>
      <c r="N73" s="17" t="n">
        <v>0</v>
      </c>
      <c r="O73" s="15" t="n">
        <v>0</v>
      </c>
      <c r="P73" s="18" t="inlineStr">
        <is>
          <t>LOSS</t>
        </is>
      </c>
      <c r="Q73" s="19" t="inlineStr"/>
    </row>
    <row r="74" ht="20" customHeight="1">
      <c r="A74" s="20" t="inlineStr">
        <is>
          <t>2026-08-13</t>
        </is>
      </c>
      <c r="B74" s="20" t="inlineStr">
        <is>
          <t>19:39:11</t>
        </is>
      </c>
      <c r="C74" s="21" t="inlineStr">
        <is>
          <t>S1 Asian Breakout</t>
        </is>
      </c>
      <c r="D74" s="22" t="inlineStr">
        <is>
          <t>SELL</t>
        </is>
      </c>
      <c r="E74" s="20" t="n">
        <v>4393.49</v>
      </c>
      <c r="F74" s="20" t="n">
        <v>4405.22</v>
      </c>
      <c r="G74" s="20" t="n">
        <v>4375.89</v>
      </c>
      <c r="H74" s="20" t="n">
        <v>4370.03</v>
      </c>
      <c r="I74" s="20" t="n">
        <v>10</v>
      </c>
      <c r="J74" s="20" t="n">
        <v>4377.86</v>
      </c>
      <c r="K74" s="23" t="n">
        <v>15630</v>
      </c>
      <c r="L74" s="20" t="n">
        <v>0.05</v>
      </c>
      <c r="M74" s="23" t="n">
        <v>15629.95</v>
      </c>
      <c r="N74" s="23" t="n">
        <v>0</v>
      </c>
      <c r="O74" s="20" t="n">
        <v>0</v>
      </c>
      <c r="P74" s="23" t="inlineStr">
        <is>
          <t>WIN</t>
        </is>
      </c>
      <c r="Q74" s="24" t="inlineStr"/>
    </row>
    <row r="75" ht="20" customHeight="1">
      <c r="A75" s="20" t="inlineStr">
        <is>
          <t>2026-08-14</t>
        </is>
      </c>
      <c r="B75" s="20" t="inlineStr">
        <is>
          <t>01:25:02</t>
        </is>
      </c>
      <c r="C75" s="21" t="inlineStr">
        <is>
          <t>S1 Asian Breakout</t>
        </is>
      </c>
      <c r="D75" s="22" t="inlineStr">
        <is>
          <t>SELL</t>
        </is>
      </c>
      <c r="E75" s="20" t="n">
        <v>4355.52</v>
      </c>
      <c r="F75" s="20" t="n">
        <v>4369.53</v>
      </c>
      <c r="G75" s="20" t="n">
        <v>4334.51</v>
      </c>
      <c r="H75" s="20" t="n">
        <v>4327.5</v>
      </c>
      <c r="I75" s="20" t="n">
        <v>10</v>
      </c>
      <c r="J75" s="20" t="n">
        <v>4350.32</v>
      </c>
      <c r="K75" s="23" t="n">
        <v>5200</v>
      </c>
      <c r="L75" s="20" t="n">
        <v>0.05</v>
      </c>
      <c r="M75" s="23" t="n">
        <v>5199.95</v>
      </c>
      <c r="N75" s="23" t="n">
        <v>0</v>
      </c>
      <c r="O75" s="20" t="n">
        <v>0</v>
      </c>
      <c r="P75" s="23" t="inlineStr">
        <is>
          <t>WIN</t>
        </is>
      </c>
      <c r="Q75" s="24" t="inlineStr"/>
    </row>
    <row r="76" ht="20" customHeight="1">
      <c r="A76" s="15" t="inlineStr">
        <is>
          <t>2026-08-18</t>
        </is>
      </c>
      <c r="B76" s="15" t="inlineStr">
        <is>
          <t>14:06:36</t>
        </is>
      </c>
      <c r="C76" s="25" t="inlineStr">
        <is>
          <t>S1 Asian Breakout</t>
        </is>
      </c>
      <c r="D76" s="18" t="inlineStr">
        <is>
          <t>SELL</t>
        </is>
      </c>
      <c r="E76" s="15" t="n">
        <v>4387.24</v>
      </c>
      <c r="F76" s="15" t="n">
        <v>4395.9</v>
      </c>
      <c r="G76" s="15" t="n">
        <v>4374.26</v>
      </c>
      <c r="H76" s="15" t="n">
        <v>4369.93</v>
      </c>
      <c r="I76" s="15" t="n">
        <v>10</v>
      </c>
      <c r="J76" s="15" t="n">
        <v>4397.83</v>
      </c>
      <c r="K76" s="18" t="n">
        <v>-10585</v>
      </c>
      <c r="L76" s="15" t="n">
        <v>0.05</v>
      </c>
      <c r="M76" s="18" t="n">
        <v>-10585.05</v>
      </c>
      <c r="N76" s="17" t="n">
        <v>0</v>
      </c>
      <c r="O76" s="15" t="n">
        <v>0</v>
      </c>
      <c r="P76" s="18" t="inlineStr">
        <is>
          <t>LOSS</t>
        </is>
      </c>
      <c r="Q76" s="19" t="inlineStr"/>
    </row>
    <row r="77" ht="20" customHeight="1">
      <c r="A77" s="20" t="inlineStr">
        <is>
          <t>2026-08-19</t>
        </is>
      </c>
      <c r="B77" s="20" t="inlineStr">
        <is>
          <t>01:25:02</t>
        </is>
      </c>
      <c r="C77" s="21" t="inlineStr">
        <is>
          <t>S1 Asian Breakout</t>
        </is>
      </c>
      <c r="D77" s="22" t="inlineStr">
        <is>
          <t>SELL</t>
        </is>
      </c>
      <c r="E77" s="20" t="n">
        <v>4351.51</v>
      </c>
      <c r="F77" s="20" t="n">
        <v>4359.68</v>
      </c>
      <c r="G77" s="20" t="n">
        <v>4339.25</v>
      </c>
      <c r="H77" s="20" t="n">
        <v>4335.17</v>
      </c>
      <c r="I77" s="20" t="n">
        <v>10</v>
      </c>
      <c r="J77" s="20" t="n">
        <v>4345.92</v>
      </c>
      <c r="K77" s="23" t="n">
        <v>5590</v>
      </c>
      <c r="L77" s="20" t="n">
        <v>0.05</v>
      </c>
      <c r="M77" s="23" t="n">
        <v>5589.95</v>
      </c>
      <c r="N77" s="23" t="n">
        <v>0</v>
      </c>
      <c r="O77" s="20" t="n">
        <v>0</v>
      </c>
      <c r="P77" s="23" t="inlineStr">
        <is>
          <t>WIN</t>
        </is>
      </c>
      <c r="Q77" s="24" t="inlineStr"/>
    </row>
    <row r="78" ht="20" customHeight="1">
      <c r="A78" s="15" t="inlineStr">
        <is>
          <t>2026-08-19</t>
        </is>
      </c>
      <c r="B78" s="15" t="inlineStr">
        <is>
          <t>13:50:35</t>
        </is>
      </c>
      <c r="C78" s="25" t="inlineStr">
        <is>
          <t>S1 Asian Breakout</t>
        </is>
      </c>
      <c r="D78" s="18" t="inlineStr">
        <is>
          <t>SELL</t>
        </is>
      </c>
      <c r="E78" s="15" t="n">
        <v>4340.84</v>
      </c>
      <c r="F78" s="15" t="n">
        <v>4350.09</v>
      </c>
      <c r="G78" s="15" t="n">
        <v>4326.97</v>
      </c>
      <c r="H78" s="15" t="n">
        <v>4322.35</v>
      </c>
      <c r="I78" s="15" t="n">
        <v>10</v>
      </c>
      <c r="J78" s="15" t="n">
        <v>4358.87</v>
      </c>
      <c r="K78" s="18" t="n">
        <v>-18030</v>
      </c>
      <c r="L78" s="15" t="n">
        <v>0.05</v>
      </c>
      <c r="M78" s="18" t="n">
        <v>-18030.05</v>
      </c>
      <c r="N78" s="17" t="n">
        <v>0</v>
      </c>
      <c r="O78" s="15" t="n">
        <v>0</v>
      </c>
      <c r="P78" s="18" t="inlineStr">
        <is>
          <t>LOSS</t>
        </is>
      </c>
      <c r="Q78" s="19" t="inlineStr"/>
    </row>
    <row r="79" ht="20" customHeight="1">
      <c r="A79" s="20" t="inlineStr">
        <is>
          <t>2026-08-20</t>
        </is>
      </c>
      <c r="B79" s="20" t="inlineStr">
        <is>
          <t>01:25:01</t>
        </is>
      </c>
      <c r="C79" s="21" t="inlineStr">
        <is>
          <t>S1 Asian Breakout</t>
        </is>
      </c>
      <c r="D79" s="23" t="inlineStr">
        <is>
          <t>BUY</t>
        </is>
      </c>
      <c r="E79" s="20" t="n">
        <v>4497.38</v>
      </c>
      <c r="F79" s="20" t="n">
        <v>4484.65</v>
      </c>
      <c r="G79" s="20" t="n">
        <v>4516.47</v>
      </c>
      <c r="H79" s="20" t="n">
        <v>4522.84</v>
      </c>
      <c r="I79" s="20" t="n">
        <v>10</v>
      </c>
      <c r="J79" s="20" t="n">
        <v>4510.69</v>
      </c>
      <c r="K79" s="23" t="n">
        <v>13310</v>
      </c>
      <c r="L79" s="20" t="n">
        <v>0.05</v>
      </c>
      <c r="M79" s="23" t="n">
        <v>13309.95</v>
      </c>
      <c r="N79" s="23" t="n">
        <v>0</v>
      </c>
      <c r="O79" s="20" t="n">
        <v>0</v>
      </c>
      <c r="P79" s="23" t="inlineStr">
        <is>
          <t>WIN</t>
        </is>
      </c>
      <c r="Q79" s="24" t="inlineStr"/>
    </row>
    <row r="80" ht="20" customHeight="1">
      <c r="A80" s="15" t="inlineStr">
        <is>
          <t>2026-08-25</t>
        </is>
      </c>
      <c r="B80" s="15" t="inlineStr">
        <is>
          <t>20:58:43</t>
        </is>
      </c>
      <c r="C80" s="25" t="inlineStr">
        <is>
          <t>S1 Asian Breakout</t>
        </is>
      </c>
      <c r="D80" s="18" t="inlineStr">
        <is>
          <t>SELL</t>
        </is>
      </c>
      <c r="E80" s="15" t="n">
        <v>4615.22</v>
      </c>
      <c r="F80" s="15" t="n">
        <v>4627.68</v>
      </c>
      <c r="G80" s="15" t="n">
        <v>4596.52</v>
      </c>
      <c r="H80" s="15" t="n">
        <v>4590.29</v>
      </c>
      <c r="I80" s="15" t="n">
        <v>10</v>
      </c>
      <c r="J80" s="15" t="n">
        <v>4642.29</v>
      </c>
      <c r="K80" s="18" t="n">
        <v>-27070</v>
      </c>
      <c r="L80" s="15" t="n">
        <v>0.05</v>
      </c>
      <c r="M80" s="18" t="n">
        <v>-27070.05</v>
      </c>
      <c r="N80" s="17" t="n">
        <v>0</v>
      </c>
      <c r="O80" s="15" t="n">
        <v>0</v>
      </c>
      <c r="P80" s="18" t="inlineStr">
        <is>
          <t>LOSS</t>
        </is>
      </c>
      <c r="Q80" s="19" t="inlineStr"/>
    </row>
    <row r="81" ht="20" customHeight="1">
      <c r="A81" s="20" t="inlineStr">
        <is>
          <t>2026-08-26</t>
        </is>
      </c>
      <c r="B81" s="20" t="inlineStr">
        <is>
          <t>18:46:21</t>
        </is>
      </c>
      <c r="C81" s="21" t="inlineStr">
        <is>
          <t>S1 Asian Breakout</t>
        </is>
      </c>
      <c r="D81" s="22" t="inlineStr">
        <is>
          <t>SELL</t>
        </is>
      </c>
      <c r="E81" s="20" t="n">
        <v>4620.9</v>
      </c>
      <c r="F81" s="20" t="n">
        <v>4631.87</v>
      </c>
      <c r="G81" s="20" t="n">
        <v>4604.45</v>
      </c>
      <c r="H81" s="20" t="n">
        <v>4598.96</v>
      </c>
      <c r="I81" s="20" t="n">
        <v>10</v>
      </c>
      <c r="J81" s="20" t="n">
        <v>4599.85</v>
      </c>
      <c r="K81" s="23" t="n">
        <v>21050</v>
      </c>
      <c r="L81" s="20" t="n">
        <v>0.05</v>
      </c>
      <c r="M81" s="23" t="n">
        <v>21049.95</v>
      </c>
      <c r="N81" s="23" t="n">
        <v>0</v>
      </c>
      <c r="O81" s="20" t="n">
        <v>0</v>
      </c>
      <c r="P81" s="23" t="inlineStr">
        <is>
          <t>WIN</t>
        </is>
      </c>
      <c r="Q81" s="24" t="inlineStr"/>
    </row>
    <row r="82" ht="20" customHeight="1">
      <c r="A82" s="20" t="inlineStr">
        <is>
          <t>2026-08-27</t>
        </is>
      </c>
      <c r="B82" s="20" t="inlineStr">
        <is>
          <t>01:25:01</t>
        </is>
      </c>
      <c r="C82" s="21" t="inlineStr">
        <is>
          <t>S1 Asian Breakout</t>
        </is>
      </c>
      <c r="D82" s="22" t="inlineStr">
        <is>
          <t>SELL</t>
        </is>
      </c>
      <c r="E82" s="20" t="n">
        <v>4596.19</v>
      </c>
      <c r="F82" s="20" t="n">
        <v>4610.03</v>
      </c>
      <c r="G82" s="20" t="n">
        <v>4575.44</v>
      </c>
      <c r="H82" s="20" t="n">
        <v>4568.52</v>
      </c>
      <c r="I82" s="20" t="n">
        <v>10</v>
      </c>
      <c r="J82" s="20" t="n">
        <v>4594.15</v>
      </c>
      <c r="K82" s="23" t="n">
        <v>2040</v>
      </c>
      <c r="L82" s="20" t="n">
        <v>0.05</v>
      </c>
      <c r="M82" s="23" t="n">
        <v>2039.95</v>
      </c>
      <c r="N82" s="23" t="n">
        <v>0</v>
      </c>
      <c r="O82" s="20" t="n">
        <v>0</v>
      </c>
      <c r="P82" s="23" t="inlineStr">
        <is>
          <t>WIN</t>
        </is>
      </c>
      <c r="Q82" s="24" t="inlineStr"/>
    </row>
    <row r="83" ht="20" customHeight="1">
      <c r="A83" s="20" t="inlineStr">
        <is>
          <t>2026-09-02</t>
        </is>
      </c>
      <c r="B83" s="20" t="inlineStr">
        <is>
          <t>17:49:38</t>
        </is>
      </c>
      <c r="C83" s="21" t="inlineStr">
        <is>
          <t>S1 Asian Breakout</t>
        </is>
      </c>
      <c r="D83" s="22" t="inlineStr">
        <is>
          <t>SELL</t>
        </is>
      </c>
      <c r="E83" s="20" t="n">
        <v>4338.5</v>
      </c>
      <c r="F83" s="20" t="n">
        <v>4351.83</v>
      </c>
      <c r="G83" s="20" t="n">
        <v>4318.52</v>
      </c>
      <c r="H83" s="20" t="n">
        <v>4311.85</v>
      </c>
      <c r="I83" s="20" t="n">
        <v>10</v>
      </c>
      <c r="J83" s="20" t="n">
        <v>4333.38</v>
      </c>
      <c r="K83" s="23" t="n">
        <v>5125</v>
      </c>
      <c r="L83" s="20" t="n">
        <v>0.05</v>
      </c>
      <c r="M83" s="23" t="n">
        <v>5124.95</v>
      </c>
      <c r="N83" s="23" t="n">
        <v>0</v>
      </c>
      <c r="O83" s="20" t="n">
        <v>0</v>
      </c>
      <c r="P83" s="23" t="inlineStr">
        <is>
          <t>WIN</t>
        </is>
      </c>
      <c r="Q83" s="24" t="inlineStr"/>
    </row>
    <row r="84" ht="20" customHeight="1">
      <c r="A84" s="20" t="inlineStr">
        <is>
          <t>2026-09-02</t>
        </is>
      </c>
      <c r="B84" s="20" t="inlineStr">
        <is>
          <t>19:13:31</t>
        </is>
      </c>
      <c r="C84" s="21" t="inlineStr">
        <is>
          <t>S1 Asian Breakout</t>
        </is>
      </c>
      <c r="D84" s="23" t="inlineStr">
        <is>
          <t>BUY</t>
        </is>
      </c>
      <c r="E84" s="20" t="n">
        <v>4346.71</v>
      </c>
      <c r="F84" s="20" t="n">
        <v>4332.26</v>
      </c>
      <c r="G84" s="20" t="n">
        <v>4368.39</v>
      </c>
      <c r="H84" s="20" t="n">
        <v>4375.61</v>
      </c>
      <c r="I84" s="20" t="n">
        <v>10</v>
      </c>
      <c r="J84" s="20" t="n">
        <v>4369.93</v>
      </c>
      <c r="K84" s="23" t="n">
        <v>23215</v>
      </c>
      <c r="L84" s="20" t="n">
        <v>0.05</v>
      </c>
      <c r="M84" s="23" t="n">
        <v>23214.95</v>
      </c>
      <c r="N84" s="23" t="n">
        <v>0</v>
      </c>
      <c r="O84" s="20" t="n">
        <v>0</v>
      </c>
      <c r="P84" s="23" t="inlineStr">
        <is>
          <t>WIN</t>
        </is>
      </c>
      <c r="Q84" s="24" t="inlineStr"/>
    </row>
    <row r="85" ht="20" customHeight="1">
      <c r="A85" s="20" t="inlineStr">
        <is>
          <t>2026-09-09</t>
        </is>
      </c>
      <c r="B85" s="20" t="inlineStr">
        <is>
          <t>18:01:21</t>
        </is>
      </c>
      <c r="C85" s="21" t="inlineStr">
        <is>
          <t>S1 Asian Breakout</t>
        </is>
      </c>
      <c r="D85" s="22" t="inlineStr">
        <is>
          <t>SELL</t>
        </is>
      </c>
      <c r="E85" s="20" t="n">
        <v>4403.06</v>
      </c>
      <c r="F85" s="20" t="n">
        <v>4418.67</v>
      </c>
      <c r="G85" s="20" t="n">
        <v>4379.65</v>
      </c>
      <c r="H85" s="20" t="n">
        <v>4371.85</v>
      </c>
      <c r="I85" s="20" t="n">
        <v>10</v>
      </c>
      <c r="J85" s="20" t="n">
        <v>4393.82</v>
      </c>
      <c r="K85" s="23" t="n">
        <v>9235</v>
      </c>
      <c r="L85" s="20" t="n">
        <v>0.05</v>
      </c>
      <c r="M85" s="23" t="n">
        <v>9234.950000000001</v>
      </c>
      <c r="N85" s="23" t="n">
        <v>0</v>
      </c>
      <c r="O85" s="20" t="n">
        <v>0</v>
      </c>
      <c r="P85" s="23" t="inlineStr">
        <is>
          <t>WIN</t>
        </is>
      </c>
      <c r="Q85" s="24" t="inlineStr"/>
    </row>
    <row r="86" ht="20" customHeight="1">
      <c r="A86" s="20" t="inlineStr">
        <is>
          <t>2026-09-15</t>
        </is>
      </c>
      <c r="B86" s="20" t="inlineStr">
        <is>
          <t>18:25:55</t>
        </is>
      </c>
      <c r="C86" s="21" t="inlineStr">
        <is>
          <t>S1 Asian Breakout</t>
        </is>
      </c>
      <c r="D86" s="22" t="inlineStr">
        <is>
          <t>SELL</t>
        </is>
      </c>
      <c r="E86" s="20" t="n">
        <v>4348.55</v>
      </c>
      <c r="F86" s="20" t="n">
        <v>4362.53</v>
      </c>
      <c r="G86" s="20" t="n">
        <v>4327.56</v>
      </c>
      <c r="H86" s="20" t="n">
        <v>4320.57</v>
      </c>
      <c r="I86" s="20" t="n">
        <v>10</v>
      </c>
      <c r="J86" s="20" t="n">
        <v>4292.36</v>
      </c>
      <c r="K86" s="23" t="n">
        <v>56180</v>
      </c>
      <c r="L86" s="20" t="n">
        <v>0.05</v>
      </c>
      <c r="M86" s="23" t="n">
        <v>56179.95</v>
      </c>
      <c r="N86" s="23" t="n">
        <v>0</v>
      </c>
      <c r="O86" s="20" t="n">
        <v>0</v>
      </c>
      <c r="P86" s="23" t="inlineStr">
        <is>
          <t>WIN</t>
        </is>
      </c>
      <c r="Q86" s="24" t="inlineStr"/>
    </row>
    <row r="87" ht="20" customHeight="1">
      <c r="A87" s="15" t="inlineStr">
        <is>
          <t>2026-09-15</t>
        </is>
      </c>
      <c r="B87" s="15" t="inlineStr">
        <is>
          <t>21:26:27</t>
        </is>
      </c>
      <c r="C87" s="25" t="inlineStr">
        <is>
          <t>S1 Asian Breakout</t>
        </is>
      </c>
      <c r="D87" s="18" t="inlineStr">
        <is>
          <t>SELL</t>
        </is>
      </c>
      <c r="E87" s="15" t="n">
        <v>4282.04</v>
      </c>
      <c r="F87" s="15" t="n">
        <v>4294.8</v>
      </c>
      <c r="G87" s="15" t="n">
        <v>4262.89</v>
      </c>
      <c r="H87" s="15" t="n">
        <v>4256.51</v>
      </c>
      <c r="I87" s="15" t="n">
        <v>10</v>
      </c>
      <c r="J87" s="15" t="n">
        <v>4291.97</v>
      </c>
      <c r="K87" s="18" t="n">
        <v>-9925</v>
      </c>
      <c r="L87" s="15" t="n">
        <v>0.05</v>
      </c>
      <c r="M87" s="18" t="n">
        <v>-9925.049999999999</v>
      </c>
      <c r="N87" s="17" t="n">
        <v>0</v>
      </c>
      <c r="O87" s="15" t="n">
        <v>0</v>
      </c>
      <c r="P87" s="18" t="inlineStr">
        <is>
          <t>LOSS</t>
        </is>
      </c>
      <c r="Q87" s="19" t="inlineStr"/>
    </row>
    <row r="88" ht="20" customHeight="1">
      <c r="A88" s="15" t="inlineStr">
        <is>
          <t>2026-09-18</t>
        </is>
      </c>
      <c r="B88" s="15" t="inlineStr">
        <is>
          <t>00:05:16</t>
        </is>
      </c>
      <c r="C88" s="25" t="inlineStr">
        <is>
          <t>S1 Asian Breakout</t>
        </is>
      </c>
      <c r="D88" s="17" t="inlineStr">
        <is>
          <t>BUY</t>
        </is>
      </c>
      <c r="E88" s="15" t="n">
        <v>4368.85</v>
      </c>
      <c r="F88" s="15" t="n">
        <v>4350.13</v>
      </c>
      <c r="G88" s="15" t="n">
        <v>4396.91</v>
      </c>
      <c r="H88" s="15" t="n">
        <v>4406.27</v>
      </c>
      <c r="I88" s="15" t="n">
        <v>10</v>
      </c>
      <c r="J88" s="15" t="n">
        <v>4349.72</v>
      </c>
      <c r="K88" s="18" t="n">
        <v>-19130</v>
      </c>
      <c r="L88" s="15" t="n">
        <v>0.05</v>
      </c>
      <c r="M88" s="18" t="n">
        <v>-19130.05</v>
      </c>
      <c r="N88" s="17" t="n">
        <v>0</v>
      </c>
      <c r="O88" s="15" t="n">
        <v>0</v>
      </c>
      <c r="P88" s="18" t="inlineStr">
        <is>
          <t>LOSS</t>
        </is>
      </c>
      <c r="Q88" s="19" t="inlineStr"/>
    </row>
    <row r="89" ht="20" customHeight="1">
      <c r="A89" s="15" t="inlineStr">
        <is>
          <t>2026-09-22</t>
        </is>
      </c>
      <c r="B89" s="15" t="inlineStr">
        <is>
          <t>23:25:23</t>
        </is>
      </c>
      <c r="C89" s="25" t="inlineStr">
        <is>
          <t>S1 Asian Breakout</t>
        </is>
      </c>
      <c r="D89" s="18" t="inlineStr">
        <is>
          <t>SELL</t>
        </is>
      </c>
      <c r="E89" s="15" t="n">
        <v>4337.46</v>
      </c>
      <c r="F89" s="15" t="n">
        <v>4350.83</v>
      </c>
      <c r="G89" s="15" t="n">
        <v>4317.4</v>
      </c>
      <c r="H89" s="15" t="n">
        <v>4310.71</v>
      </c>
      <c r="I89" s="15" t="n">
        <v>10</v>
      </c>
      <c r="J89" s="15" t="n">
        <v>4349.03</v>
      </c>
      <c r="K89" s="18" t="n">
        <v>-11570</v>
      </c>
      <c r="L89" s="15" t="n">
        <v>0.05</v>
      </c>
      <c r="M89" s="18" t="n">
        <v>-11570.05</v>
      </c>
      <c r="N89" s="17" t="n">
        <v>0</v>
      </c>
      <c r="O89" s="15" t="n">
        <v>0</v>
      </c>
      <c r="P89" s="18" t="inlineStr">
        <is>
          <t>LOSS</t>
        </is>
      </c>
      <c r="Q89" s="19" t="inlineStr"/>
    </row>
    <row r="90" ht="20" customHeight="1">
      <c r="A90" s="20" t="inlineStr">
        <is>
          <t>2026-09-24</t>
        </is>
      </c>
      <c r="B90" s="20" t="inlineStr">
        <is>
          <t>18:27:09</t>
        </is>
      </c>
      <c r="C90" s="21" t="inlineStr">
        <is>
          <t>S1 Asian Breakout</t>
        </is>
      </c>
      <c r="D90" s="22" t="inlineStr">
        <is>
          <t>SELL</t>
        </is>
      </c>
      <c r="E90" s="20" t="n">
        <v>4289.75</v>
      </c>
      <c r="F90" s="20" t="n">
        <v>4302.26</v>
      </c>
      <c r="G90" s="20" t="n">
        <v>4270.99</v>
      </c>
      <c r="H90" s="20" t="n">
        <v>4264.74</v>
      </c>
      <c r="I90" s="20" t="n">
        <v>10</v>
      </c>
      <c r="J90" s="20" t="n">
        <v>4281.98</v>
      </c>
      <c r="K90" s="23" t="n">
        <v>7770</v>
      </c>
      <c r="L90" s="20" t="n">
        <v>0.05</v>
      </c>
      <c r="M90" s="23" t="n">
        <v>7769.95</v>
      </c>
      <c r="N90" s="23" t="n">
        <v>0</v>
      </c>
      <c r="O90" s="20" t="n">
        <v>0</v>
      </c>
      <c r="P90" s="23" t="inlineStr">
        <is>
          <t>WIN</t>
        </is>
      </c>
      <c r="Q90" s="24" t="inlineStr"/>
    </row>
    <row r="91" ht="20" customHeight="1">
      <c r="A91" s="20" t="inlineStr">
        <is>
          <t>2026-09-24</t>
        </is>
      </c>
      <c r="B91" s="20" t="inlineStr">
        <is>
          <t>20:43:28</t>
        </is>
      </c>
      <c r="C91" s="21" t="inlineStr">
        <is>
          <t>S1 Asian Breakout</t>
        </is>
      </c>
      <c r="D91" s="22" t="inlineStr">
        <is>
          <t>SELL</t>
        </is>
      </c>
      <c r="E91" s="20" t="n">
        <v>4273.58</v>
      </c>
      <c r="F91" s="20" t="n">
        <v>4286.9</v>
      </c>
      <c r="G91" s="20" t="n">
        <v>4253.61</v>
      </c>
      <c r="H91" s="20" t="n">
        <v>4246.95</v>
      </c>
      <c r="I91" s="20" t="n">
        <v>10</v>
      </c>
      <c r="J91" s="20" t="n">
        <v>4247.2</v>
      </c>
      <c r="K91" s="23" t="n">
        <v>26380</v>
      </c>
      <c r="L91" s="20" t="n">
        <v>0.05</v>
      </c>
      <c r="M91" s="23" t="n">
        <v>26379.95</v>
      </c>
      <c r="N91" s="23" t="n">
        <v>0</v>
      </c>
      <c r="O91" s="20" t="n">
        <v>0</v>
      </c>
      <c r="P91" s="23" t="inlineStr">
        <is>
          <t>WIN</t>
        </is>
      </c>
      <c r="Q91" s="24" t="inlineStr"/>
    </row>
    <row r="92" ht="20" customHeight="1">
      <c r="A92" s="20" t="inlineStr">
        <is>
          <t>2026-09-30</t>
        </is>
      </c>
      <c r="B92" s="20" t="inlineStr">
        <is>
          <t>01:13:05</t>
        </is>
      </c>
      <c r="C92" s="21" t="inlineStr">
        <is>
          <t>S1 Asian Breakout</t>
        </is>
      </c>
      <c r="D92" s="23" t="inlineStr">
        <is>
          <t>BUY</t>
        </is>
      </c>
      <c r="E92" s="20" t="n">
        <v>4166.09</v>
      </c>
      <c r="F92" s="20" t="n">
        <v>4153.3</v>
      </c>
      <c r="G92" s="20" t="n">
        <v>4185.28</v>
      </c>
      <c r="H92" s="20" t="n">
        <v>4191.67</v>
      </c>
      <c r="I92" s="20" t="n">
        <v>10</v>
      </c>
      <c r="J92" s="20" t="n">
        <v>4171.41</v>
      </c>
      <c r="K92" s="23" t="n">
        <v>5320</v>
      </c>
      <c r="L92" s="20" t="n">
        <v>0.05</v>
      </c>
      <c r="M92" s="23" t="n">
        <v>5319.95</v>
      </c>
      <c r="N92" s="23" t="n">
        <v>0</v>
      </c>
      <c r="O92" s="20" t="n">
        <v>0</v>
      </c>
      <c r="P92" s="23" t="inlineStr">
        <is>
          <t>WIN</t>
        </is>
      </c>
      <c r="Q92" s="24" t="inlineStr"/>
    </row>
    <row r="93" ht="20" customHeight="1">
      <c r="A93" s="20" t="inlineStr">
        <is>
          <t>2026-10-02</t>
        </is>
      </c>
      <c r="B93" s="20" t="inlineStr">
        <is>
          <t>01:25:01</t>
        </is>
      </c>
      <c r="C93" s="21" t="inlineStr">
        <is>
          <t>S1 Asian Breakout</t>
        </is>
      </c>
      <c r="D93" s="23" t="inlineStr">
        <is>
          <t>BUY</t>
        </is>
      </c>
      <c r="E93" s="20" t="n">
        <v>4165.59</v>
      </c>
      <c r="F93" s="20" t="n">
        <v>4149.96</v>
      </c>
      <c r="G93" s="20" t="n">
        <v>4189.02</v>
      </c>
      <c r="H93" s="20" t="n">
        <v>4196.84</v>
      </c>
      <c r="I93" s="20" t="n">
        <v>10</v>
      </c>
      <c r="J93" s="20" t="n">
        <v>4176.26</v>
      </c>
      <c r="K93" s="23" t="n">
        <v>10675</v>
      </c>
      <c r="L93" s="20" t="n">
        <v>0.05</v>
      </c>
      <c r="M93" s="23" t="n">
        <v>10674.95</v>
      </c>
      <c r="N93" s="23" t="n">
        <v>0</v>
      </c>
      <c r="O93" s="20" t="n">
        <v>0</v>
      </c>
      <c r="P93" s="23" t="inlineStr">
        <is>
          <t>WIN</t>
        </is>
      </c>
      <c r="Q93" s="24" t="inlineStr"/>
    </row>
    <row r="94" ht="20" customHeight="1">
      <c r="A94" s="20" t="inlineStr">
        <is>
          <t>2026-10-07</t>
        </is>
      </c>
      <c r="B94" s="20" t="inlineStr">
        <is>
          <t>00:27:08</t>
        </is>
      </c>
      <c r="C94" s="21" t="inlineStr">
        <is>
          <t>S1 Asian Breakout</t>
        </is>
      </c>
      <c r="D94" s="23" t="inlineStr">
        <is>
          <t>BUY</t>
        </is>
      </c>
      <c r="E94" s="20" t="n">
        <v>4152.81</v>
      </c>
      <c r="F94" s="20" t="n">
        <v>4141.29</v>
      </c>
      <c r="G94" s="20" t="n">
        <v>4170.09</v>
      </c>
      <c r="H94" s="20" t="n">
        <v>4175.85</v>
      </c>
      <c r="I94" s="20" t="n">
        <v>10</v>
      </c>
      <c r="J94" s="20" t="n">
        <v>4176.6</v>
      </c>
      <c r="K94" s="23" t="n">
        <v>23785</v>
      </c>
      <c r="L94" s="20" t="n">
        <v>0.05</v>
      </c>
      <c r="M94" s="23" t="n">
        <v>23784.95</v>
      </c>
      <c r="N94" s="23" t="n">
        <v>0</v>
      </c>
      <c r="O94" s="20" t="n">
        <v>0</v>
      </c>
      <c r="P94" s="23" t="inlineStr">
        <is>
          <t>WIN</t>
        </is>
      </c>
      <c r="Q94" s="24" t="inlineStr"/>
    </row>
    <row r="95" ht="20" customHeight="1">
      <c r="A95" s="15" t="inlineStr">
        <is>
          <t>2026-10-07</t>
        </is>
      </c>
      <c r="B95" s="15" t="inlineStr">
        <is>
          <t>01:19:47</t>
        </is>
      </c>
      <c r="C95" s="25" t="inlineStr">
        <is>
          <t>S1 Asian Breakout</t>
        </is>
      </c>
      <c r="D95" s="17" t="inlineStr">
        <is>
          <t>BUY</t>
        </is>
      </c>
      <c r="E95" s="15" t="n">
        <v>4176.11</v>
      </c>
      <c r="F95" s="15" t="n">
        <v>4167.61</v>
      </c>
      <c r="G95" s="15" t="n">
        <v>4188.86</v>
      </c>
      <c r="H95" s="15" t="n">
        <v>4193.11</v>
      </c>
      <c r="I95" s="15" t="n">
        <v>10</v>
      </c>
      <c r="J95" s="15" t="n">
        <v>4167.7</v>
      </c>
      <c r="K95" s="18" t="n">
        <v>-8410</v>
      </c>
      <c r="L95" s="15" t="n">
        <v>0.05</v>
      </c>
      <c r="M95" s="18" t="n">
        <v>-8410.049999999999</v>
      </c>
      <c r="N95" s="17" t="n">
        <v>0</v>
      </c>
      <c r="O95" s="15" t="n">
        <v>0</v>
      </c>
      <c r="P95" s="18" t="inlineStr">
        <is>
          <t>LOSS</t>
        </is>
      </c>
      <c r="Q95" s="19" t="inlineStr"/>
    </row>
    <row r="96" ht="20" customHeight="1">
      <c r="A96" s="15" t="inlineStr">
        <is>
          <t>2026-10-08</t>
        </is>
      </c>
      <c r="B96" s="15" t="inlineStr">
        <is>
          <t>01:56:34</t>
        </is>
      </c>
      <c r="C96" s="25" t="inlineStr">
        <is>
          <t>S1 Asian Breakout</t>
        </is>
      </c>
      <c r="D96" s="18" t="inlineStr">
        <is>
          <t>SELL</t>
        </is>
      </c>
      <c r="E96" s="15" t="n">
        <v>4100.99</v>
      </c>
      <c r="F96" s="15" t="n">
        <v>4111.37</v>
      </c>
      <c r="G96" s="15" t="n">
        <v>4085.42</v>
      </c>
      <c r="H96" s="15" t="n">
        <v>4080.24</v>
      </c>
      <c r="I96" s="15" t="n">
        <v>10</v>
      </c>
      <c r="J96" s="15" t="n">
        <v>4111.78</v>
      </c>
      <c r="K96" s="18" t="n">
        <v>-10790</v>
      </c>
      <c r="L96" s="15" t="n">
        <v>0.05</v>
      </c>
      <c r="M96" s="18" t="n">
        <v>-10790.05</v>
      </c>
      <c r="N96" s="17" t="n">
        <v>0</v>
      </c>
      <c r="O96" s="15" t="n">
        <v>0</v>
      </c>
      <c r="P96" s="18" t="inlineStr">
        <is>
          <t>LOSS</t>
        </is>
      </c>
      <c r="Q96" s="19" t="inlineStr"/>
    </row>
    <row r="97" ht="20" customHeight="1">
      <c r="A97" s="15" t="inlineStr">
        <is>
          <t>2026-10-08</t>
        </is>
      </c>
      <c r="B97" s="15" t="inlineStr">
        <is>
          <t>23:20:30</t>
        </is>
      </c>
      <c r="C97" s="25" t="inlineStr">
        <is>
          <t>S1 Asian Breakout</t>
        </is>
      </c>
      <c r="D97" s="17" t="inlineStr">
        <is>
          <t>BUY</t>
        </is>
      </c>
      <c r="E97" s="15" t="n">
        <v>4143.68</v>
      </c>
      <c r="F97" s="15" t="n">
        <v>4128.14</v>
      </c>
      <c r="G97" s="15" t="n">
        <v>4166.99</v>
      </c>
      <c r="H97" s="15" t="n">
        <v>4174.77</v>
      </c>
      <c r="I97" s="15" t="n">
        <v>10</v>
      </c>
      <c r="J97" s="15" t="n">
        <v>4128.35</v>
      </c>
      <c r="K97" s="18" t="n">
        <v>-15325</v>
      </c>
      <c r="L97" s="15" t="n">
        <v>0.05</v>
      </c>
      <c r="M97" s="18" t="n">
        <v>-15325.05</v>
      </c>
      <c r="N97" s="17" t="n">
        <v>0</v>
      </c>
      <c r="O97" s="15" t="n">
        <v>0</v>
      </c>
      <c r="P97" s="18" t="inlineStr">
        <is>
          <t>LOSS</t>
        </is>
      </c>
      <c r="Q97" s="19" t="inlineStr"/>
    </row>
    <row r="98" ht="20" customHeight="1">
      <c r="A98" s="15" t="inlineStr">
        <is>
          <t>2026-10-13</t>
        </is>
      </c>
      <c r="B98" s="15" t="inlineStr">
        <is>
          <t>23:37:02</t>
        </is>
      </c>
      <c r="C98" s="25" t="inlineStr">
        <is>
          <t>S1 Asian Breakout</t>
        </is>
      </c>
      <c r="D98" s="18" t="inlineStr">
        <is>
          <t>SELL</t>
        </is>
      </c>
      <c r="E98" s="15" t="n">
        <v>4149.99</v>
      </c>
      <c r="F98" s="15" t="n">
        <v>4158.13</v>
      </c>
      <c r="G98" s="15" t="n">
        <v>4137.79</v>
      </c>
      <c r="H98" s="15" t="n">
        <v>4133.72</v>
      </c>
      <c r="I98" s="15" t="n">
        <v>10</v>
      </c>
      <c r="J98" s="15" t="n">
        <v>4158.92</v>
      </c>
      <c r="K98" s="18" t="n">
        <v>-8925</v>
      </c>
      <c r="L98" s="15" t="n">
        <v>0.05</v>
      </c>
      <c r="M98" s="18" t="n">
        <v>-8925.049999999999</v>
      </c>
      <c r="N98" s="17" t="n">
        <v>0</v>
      </c>
      <c r="O98" s="15" t="n">
        <v>0</v>
      </c>
      <c r="P98" s="18" t="inlineStr">
        <is>
          <t>LOSS</t>
        </is>
      </c>
      <c r="Q98" s="19" t="inlineStr"/>
    </row>
    <row r="99" ht="20" customHeight="1">
      <c r="A99" s="15" t="inlineStr">
        <is>
          <t>2026-10-15</t>
        </is>
      </c>
      <c r="B99" s="15" t="inlineStr">
        <is>
          <t>19:37:15</t>
        </is>
      </c>
      <c r="C99" s="25" t="inlineStr">
        <is>
          <t>S1 Asian Breakout</t>
        </is>
      </c>
      <c r="D99" s="17" t="inlineStr">
        <is>
          <t>BUY</t>
        </is>
      </c>
      <c r="E99" s="15" t="n">
        <v>4161.4</v>
      </c>
      <c r="F99" s="15" t="n">
        <v>4149.26</v>
      </c>
      <c r="G99" s="15" t="n">
        <v>4179.6</v>
      </c>
      <c r="H99" s="15" t="n">
        <v>4185.67</v>
      </c>
      <c r="I99" s="15" t="n">
        <v>10</v>
      </c>
      <c r="J99" s="15" t="n">
        <v>4150.32</v>
      </c>
      <c r="K99" s="18" t="n">
        <v>-11080</v>
      </c>
      <c r="L99" s="15" t="n">
        <v>0.05</v>
      </c>
      <c r="M99" s="18" t="n">
        <v>-11080.05</v>
      </c>
      <c r="N99" s="17" t="n">
        <v>0</v>
      </c>
      <c r="O99" s="15" t="n">
        <v>0</v>
      </c>
      <c r="P99" s="18" t="inlineStr">
        <is>
          <t>LOSS</t>
        </is>
      </c>
      <c r="Q99" s="19" t="inlineStr"/>
    </row>
    <row r="100" ht="20" customHeight="1">
      <c r="A100" s="15" t="inlineStr">
        <is>
          <t>2026-10-20</t>
        </is>
      </c>
      <c r="B100" s="15" t="inlineStr">
        <is>
          <t>19:09:54</t>
        </is>
      </c>
      <c r="C100" s="25" t="inlineStr">
        <is>
          <t>S1 Asian Breakout</t>
        </is>
      </c>
      <c r="D100" s="18" t="inlineStr">
        <is>
          <t>SELL</t>
        </is>
      </c>
      <c r="E100" s="15" t="n">
        <v>4115.24</v>
      </c>
      <c r="F100" s="15" t="n">
        <v>4126.37</v>
      </c>
      <c r="G100" s="15" t="n">
        <v>4098.54</v>
      </c>
      <c r="H100" s="15" t="n">
        <v>4092.98</v>
      </c>
      <c r="I100" s="15" t="n">
        <v>10</v>
      </c>
      <c r="J100" s="15" t="n">
        <v>4127.15</v>
      </c>
      <c r="K100" s="18" t="n">
        <v>-11915</v>
      </c>
      <c r="L100" s="15" t="n">
        <v>0.05</v>
      </c>
      <c r="M100" s="18" t="n">
        <v>-11915.05</v>
      </c>
      <c r="N100" s="17" t="n">
        <v>0</v>
      </c>
      <c r="O100" s="15" t="n">
        <v>0</v>
      </c>
      <c r="P100" s="18" t="inlineStr">
        <is>
          <t>LOSS</t>
        </is>
      </c>
      <c r="Q100" s="19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E676"/>
    <outlinePr summaryBelow="1" summaryRight="1"/>
    <pageSetUpPr/>
  </sheetPr>
  <dimension ref="A1:Q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0" customWidth="1" min="10" max="10"/>
    <col width="13" customWidth="1" min="11" max="11"/>
    <col width="12" customWidth="1" min="12" max="12"/>
    <col width="12" customWidth="1" min="13" max="13"/>
    <col width="14" customWidth="1" min="14" max="14"/>
    <col width="14" customWidth="1" min="15" max="15"/>
    <col width="8" customWidth="1" min="16" max="16"/>
    <col width="22" customWidth="1" min="17" max="17"/>
  </cols>
  <sheetData>
    <row r="1" ht="34" customHeight="1">
      <c r="A1" s="4" t="inlineStr">
        <is>
          <t>⚡  XAUUSD BOT — S2 GOLDMINE</t>
        </is>
      </c>
    </row>
    <row r="2" ht="16" customHeight="1">
      <c r="A2" s="2" t="inlineStr">
        <is>
          <t>Asian Range Breakout | Goldmine | Silver Bullet | ATR SL | 1:2 R:R | Capital.com Demo</t>
        </is>
      </c>
    </row>
    <row r="3" ht="28" customHeight="1">
      <c r="A3" s="5" t="inlineStr">
        <is>
          <t>Date</t>
        </is>
      </c>
      <c r="B3" s="5" t="inlineStr">
        <is>
          <t>Time (IST)</t>
        </is>
      </c>
      <c r="C3" s="5" t="inlineStr">
        <is>
          <t>Strategy</t>
        </is>
      </c>
      <c r="D3" s="5" t="inlineStr">
        <is>
          <t>Direction</t>
        </is>
      </c>
      <c r="E3" s="5" t="inlineStr">
        <is>
          <t>Entry ($)</t>
        </is>
      </c>
      <c r="F3" s="5" t="inlineStr">
        <is>
          <t>SL ($)</t>
        </is>
      </c>
      <c r="G3" s="5" t="inlineStr">
        <is>
          <t>TP1 ($)</t>
        </is>
      </c>
      <c r="H3" s="5" t="inlineStr">
        <is>
          <t>TP2 ($)</t>
        </is>
      </c>
      <c r="I3" s="5" t="inlineStr">
        <is>
          <t>Size (oz)</t>
        </is>
      </c>
      <c r="J3" s="5" t="inlineStr">
        <is>
          <t>Exit ($)</t>
        </is>
      </c>
      <c r="K3" s="5" t="inlineStr">
        <is>
          <t>Gross P&amp;L ($)</t>
        </is>
      </c>
      <c r="L3" s="5" t="inlineStr">
        <is>
          <t>Commission ($)</t>
        </is>
      </c>
      <c r="M3" s="5" t="inlineStr">
        <is>
          <t>Net P&amp;L ($)</t>
        </is>
      </c>
      <c r="N3" s="5" t="inlineStr">
        <is>
          <t>Cumul. P&amp;L ($)</t>
        </is>
      </c>
      <c r="O3" s="5" t="inlineStr">
        <is>
          <t>Equity ($)</t>
        </is>
      </c>
      <c r="P3" s="5" t="inlineStr">
        <is>
          <t>Result</t>
        </is>
      </c>
      <c r="Q3" s="5" t="inlineStr">
        <is>
          <t>Notes</t>
        </is>
      </c>
    </row>
    <row r="4" ht="20" customHeight="1">
      <c r="A4" s="20" t="inlineStr">
        <is>
          <t>2026-04-09</t>
        </is>
      </c>
      <c r="B4" s="20" t="inlineStr">
        <is>
          <t>21:05:18</t>
        </is>
      </c>
      <c r="C4" s="23" t="inlineStr">
        <is>
          <t>S2 Goldmine</t>
        </is>
      </c>
      <c r="D4" s="23" t="inlineStr">
        <is>
          <t>BUY</t>
        </is>
      </c>
      <c r="E4" s="20" t="n">
        <v>4752.51</v>
      </c>
      <c r="F4" s="20" t="n">
        <v>4732.22</v>
      </c>
      <c r="G4" s="20" t="n">
        <v>4782.94</v>
      </c>
      <c r="H4" s="20" t="n">
        <v>4793.09</v>
      </c>
      <c r="I4" s="20" t="n">
        <v>10</v>
      </c>
      <c r="J4" s="20" t="n">
        <v>4792.68</v>
      </c>
      <c r="K4" s="23" t="n">
        <v>40170</v>
      </c>
      <c r="L4" s="20" t="n">
        <v>0.05</v>
      </c>
      <c r="M4" s="23" t="n">
        <v>40169.95</v>
      </c>
      <c r="N4" s="23" t="n">
        <v>0</v>
      </c>
      <c r="O4" s="20" t="n">
        <v>0</v>
      </c>
      <c r="P4" s="23" t="inlineStr">
        <is>
          <t>WIN</t>
        </is>
      </c>
      <c r="Q4" s="24" t="inlineStr"/>
    </row>
    <row r="5" ht="20" customHeight="1">
      <c r="A5" s="20" t="inlineStr">
        <is>
          <t>2026-06-04</t>
        </is>
      </c>
      <c r="B5" s="20" t="inlineStr">
        <is>
          <t>01:25:01</t>
        </is>
      </c>
      <c r="C5" s="23" t="inlineStr">
        <is>
          <t>S2 Goldmine</t>
        </is>
      </c>
      <c r="D5" s="22" t="inlineStr">
        <is>
          <t>SELL</t>
        </is>
      </c>
      <c r="E5" s="20" t="n">
        <v>4455.6</v>
      </c>
      <c r="F5" s="20" t="n">
        <v>4473.77</v>
      </c>
      <c r="G5" s="20" t="n">
        <v>4428.34</v>
      </c>
      <c r="H5" s="20" t="n">
        <v>4419.26</v>
      </c>
      <c r="I5" s="20" t="n">
        <v>10</v>
      </c>
      <c r="J5" s="20" t="n">
        <v>4445.14</v>
      </c>
      <c r="K5" s="23" t="n">
        <v>10460</v>
      </c>
      <c r="L5" s="20" t="n">
        <v>0.05</v>
      </c>
      <c r="M5" s="23" t="n">
        <v>10459.95</v>
      </c>
      <c r="N5" s="23" t="n">
        <v>0</v>
      </c>
      <c r="O5" s="20" t="n">
        <v>0</v>
      </c>
      <c r="P5" s="23" t="inlineStr">
        <is>
          <t>WIN</t>
        </is>
      </c>
      <c r="Q5" s="24" t="inlineStr"/>
    </row>
    <row r="6" ht="20" customHeight="1">
      <c r="A6" s="15" t="inlineStr">
        <is>
          <t>2026-06-04</t>
        </is>
      </c>
      <c r="B6" s="15" t="inlineStr">
        <is>
          <t>20:21:31</t>
        </is>
      </c>
      <c r="C6" s="17" t="inlineStr">
        <is>
          <t>S2 Goldmine</t>
        </is>
      </c>
      <c r="D6" s="17" t="inlineStr">
        <is>
          <t>BUY</t>
        </is>
      </c>
      <c r="E6" s="15" t="n">
        <v>4481.35</v>
      </c>
      <c r="F6" s="15" t="n">
        <v>4461.97</v>
      </c>
      <c r="G6" s="15" t="n">
        <v>4510.44</v>
      </c>
      <c r="H6" s="15" t="n">
        <v>4520.13</v>
      </c>
      <c r="I6" s="15" t="n">
        <v>10</v>
      </c>
      <c r="J6" s="15" t="n">
        <v>4464.7</v>
      </c>
      <c r="K6" s="18" t="n">
        <v>-16650</v>
      </c>
      <c r="L6" s="15" t="n">
        <v>0.05</v>
      </c>
      <c r="M6" s="18" t="n">
        <v>-16650.05</v>
      </c>
      <c r="N6" s="17" t="n">
        <v>0</v>
      </c>
      <c r="O6" s="15" t="n">
        <v>0</v>
      </c>
      <c r="P6" s="18" t="inlineStr">
        <is>
          <t>LOSS</t>
        </is>
      </c>
      <c r="Q6" s="19" t="inlineStr"/>
    </row>
    <row r="7" ht="20" customHeight="1">
      <c r="A7" s="15" t="inlineStr">
        <is>
          <t>2026-06-17</t>
        </is>
      </c>
      <c r="B7" s="15" t="inlineStr">
        <is>
          <t>18:53:33</t>
        </is>
      </c>
      <c r="C7" s="17" t="inlineStr">
        <is>
          <t>S2 Goldmine</t>
        </is>
      </c>
      <c r="D7" s="18" t="inlineStr">
        <is>
          <t>SELL</t>
        </is>
      </c>
      <c r="E7" s="15" t="n">
        <v>4327.09</v>
      </c>
      <c r="F7" s="15" t="n">
        <v>4334.94</v>
      </c>
      <c r="G7" s="15" t="n">
        <v>4315.3</v>
      </c>
      <c r="H7" s="15" t="n">
        <v>4311.37</v>
      </c>
      <c r="I7" s="15" t="n">
        <v>10</v>
      </c>
      <c r="J7" s="15" t="n">
        <v>4337.07</v>
      </c>
      <c r="K7" s="18" t="n">
        <v>-9985</v>
      </c>
      <c r="L7" s="15" t="n">
        <v>0.05</v>
      </c>
      <c r="M7" s="18" t="n">
        <v>-9985.049999999999</v>
      </c>
      <c r="N7" s="17" t="n">
        <v>0</v>
      </c>
      <c r="O7" s="15" t="n">
        <v>0</v>
      </c>
      <c r="P7" s="18" t="inlineStr">
        <is>
          <t>LOSS</t>
        </is>
      </c>
      <c r="Q7" s="19" t="inlineStr"/>
    </row>
    <row r="8" ht="20" customHeight="1">
      <c r="A8" s="20" t="inlineStr">
        <is>
          <t>2026-07-02</t>
        </is>
      </c>
      <c r="B8" s="20" t="inlineStr">
        <is>
          <t>19:20:50</t>
        </is>
      </c>
      <c r="C8" s="23" t="inlineStr">
        <is>
          <t>S2 Goldmine</t>
        </is>
      </c>
      <c r="D8" s="23" t="inlineStr">
        <is>
          <t>BUY</t>
        </is>
      </c>
      <c r="E8" s="20" t="n">
        <v>4110.27</v>
      </c>
      <c r="F8" s="20" t="n">
        <v>4093.77</v>
      </c>
      <c r="G8" s="20" t="n">
        <v>4135.02</v>
      </c>
      <c r="H8" s="20" t="n">
        <v>4143.27</v>
      </c>
      <c r="I8" s="20" t="n">
        <v>10</v>
      </c>
      <c r="J8" s="20" t="n">
        <v>4142.55</v>
      </c>
      <c r="K8" s="23" t="n">
        <v>32280</v>
      </c>
      <c r="L8" s="20" t="n">
        <v>0.05</v>
      </c>
      <c r="M8" s="23" t="n">
        <v>32279.95</v>
      </c>
      <c r="N8" s="23" t="n">
        <v>0</v>
      </c>
      <c r="O8" s="20" t="n">
        <v>0</v>
      </c>
      <c r="P8" s="23" t="inlineStr">
        <is>
          <t>WIN</t>
        </is>
      </c>
      <c r="Q8" s="24" t="inlineStr"/>
    </row>
    <row r="9" ht="20" customHeight="1">
      <c r="A9" s="20" t="inlineStr">
        <is>
          <t>2026-08-26</t>
        </is>
      </c>
      <c r="B9" s="20" t="inlineStr">
        <is>
          <t>21:36:02</t>
        </is>
      </c>
      <c r="C9" s="23" t="inlineStr">
        <is>
          <t>S2 Goldmine</t>
        </is>
      </c>
      <c r="D9" s="22" t="inlineStr">
        <is>
          <t>SELL</t>
        </is>
      </c>
      <c r="E9" s="20" t="n">
        <v>4625.56</v>
      </c>
      <c r="F9" s="20" t="n">
        <v>4640.5</v>
      </c>
      <c r="G9" s="20" t="n">
        <v>4603.15</v>
      </c>
      <c r="H9" s="20" t="n">
        <v>4595.69</v>
      </c>
      <c r="I9" s="20" t="n">
        <v>10</v>
      </c>
      <c r="J9" s="20" t="n">
        <v>4601.18</v>
      </c>
      <c r="K9" s="23" t="n">
        <v>24380</v>
      </c>
      <c r="L9" s="20" t="n">
        <v>0.05</v>
      </c>
      <c r="M9" s="23" t="n">
        <v>24379.95</v>
      </c>
      <c r="N9" s="23" t="n">
        <v>0</v>
      </c>
      <c r="O9" s="20" t="n">
        <v>0</v>
      </c>
      <c r="P9" s="23" t="inlineStr">
        <is>
          <t>WIN</t>
        </is>
      </c>
      <c r="Q9" s="24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388FF"/>
    <outlinePr summaryBelow="1" summaryRight="1"/>
    <pageSetUpPr/>
  </sheetPr>
  <dimension ref="A1:Q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0" customWidth="1" min="10" max="10"/>
    <col width="13" customWidth="1" min="11" max="11"/>
    <col width="12" customWidth="1" min="12" max="12"/>
    <col width="12" customWidth="1" min="13" max="13"/>
    <col width="14" customWidth="1" min="14" max="14"/>
    <col width="14" customWidth="1" min="15" max="15"/>
    <col width="8" customWidth="1" min="16" max="16"/>
    <col width="22" customWidth="1" min="17" max="17"/>
  </cols>
  <sheetData>
    <row r="1" ht="34" customHeight="1">
      <c r="A1" s="6" t="inlineStr">
        <is>
          <t>⚡  XAUUSD BOT — S3 SILVER BULLET</t>
        </is>
      </c>
    </row>
    <row r="2" ht="16" customHeight="1">
      <c r="A2" s="2" t="inlineStr">
        <is>
          <t>Asian Range Breakout | Goldmine | Silver Bullet | ATR SL | 1:2 R:R | Capital.com Demo</t>
        </is>
      </c>
    </row>
    <row r="3" ht="28" customHeight="1">
      <c r="A3" s="7" t="inlineStr">
        <is>
          <t>Date</t>
        </is>
      </c>
      <c r="B3" s="7" t="inlineStr">
        <is>
          <t>Time (IST)</t>
        </is>
      </c>
      <c r="C3" s="7" t="inlineStr">
        <is>
          <t>Strategy</t>
        </is>
      </c>
      <c r="D3" s="7" t="inlineStr">
        <is>
          <t>Direction</t>
        </is>
      </c>
      <c r="E3" s="7" t="inlineStr">
        <is>
          <t>Entry ($)</t>
        </is>
      </c>
      <c r="F3" s="7" t="inlineStr">
        <is>
          <t>SL ($)</t>
        </is>
      </c>
      <c r="G3" s="7" t="inlineStr">
        <is>
          <t>TP1 ($)</t>
        </is>
      </c>
      <c r="H3" s="7" t="inlineStr">
        <is>
          <t>TP2 ($)</t>
        </is>
      </c>
      <c r="I3" s="7" t="inlineStr">
        <is>
          <t>Size (oz)</t>
        </is>
      </c>
      <c r="J3" s="7" t="inlineStr">
        <is>
          <t>Exit ($)</t>
        </is>
      </c>
      <c r="K3" s="7" t="inlineStr">
        <is>
          <t>Gross P&amp;L ($)</t>
        </is>
      </c>
      <c r="L3" s="7" t="inlineStr">
        <is>
          <t>Commission ($)</t>
        </is>
      </c>
      <c r="M3" s="7" t="inlineStr">
        <is>
          <t>Net P&amp;L ($)</t>
        </is>
      </c>
      <c r="N3" s="7" t="inlineStr">
        <is>
          <t>Cumul. P&amp;L ($)</t>
        </is>
      </c>
      <c r="O3" s="7" t="inlineStr">
        <is>
          <t>Equity ($)</t>
        </is>
      </c>
      <c r="P3" s="7" t="inlineStr">
        <is>
          <t>Result</t>
        </is>
      </c>
      <c r="Q3" s="7" t="inlineStr">
        <is>
          <t>Notes</t>
        </is>
      </c>
    </row>
    <row r="4" ht="20" customHeight="1">
      <c r="A4" s="15" t="inlineStr">
        <is>
          <t>2026-03-24</t>
        </is>
      </c>
      <c r="B4" s="15" t="inlineStr">
        <is>
          <t>23:15:09</t>
        </is>
      </c>
      <c r="C4" s="16" t="inlineStr">
        <is>
          <t>S3 Silver Bullet</t>
        </is>
      </c>
      <c r="D4" s="17" t="inlineStr">
        <is>
          <t>BUY</t>
        </is>
      </c>
      <c r="E4" s="15" t="n">
        <v>4412.44</v>
      </c>
      <c r="F4" s="15" t="n">
        <v>4374.69</v>
      </c>
      <c r="G4" s="15" t="n">
        <v>4469.07</v>
      </c>
      <c r="H4" s="15" t="n">
        <v>4487.94</v>
      </c>
      <c r="I4" s="15" t="n">
        <v>10</v>
      </c>
      <c r="J4" s="15" t="n">
        <v>4377.86</v>
      </c>
      <c r="K4" s="18" t="n">
        <v>-34575</v>
      </c>
      <c r="L4" s="15" t="n">
        <v>0.05</v>
      </c>
      <c r="M4" s="18" t="n">
        <v>-34575.05</v>
      </c>
      <c r="N4" s="17" t="n">
        <v>0</v>
      </c>
      <c r="O4" s="15" t="n">
        <v>0</v>
      </c>
      <c r="P4" s="18" t="inlineStr">
        <is>
          <t>LOSS</t>
        </is>
      </c>
      <c r="Q4" s="19" t="inlineStr"/>
    </row>
    <row r="5" ht="20" customHeight="1">
      <c r="A5" s="20" t="inlineStr">
        <is>
          <t>2026-04-03</t>
        </is>
      </c>
      <c r="B5" s="20" t="inlineStr">
        <is>
          <t>01:25:02</t>
        </is>
      </c>
      <c r="C5" s="26" t="inlineStr">
        <is>
          <t>S3 Silver Bullet</t>
        </is>
      </c>
      <c r="D5" s="23" t="inlineStr">
        <is>
          <t>BUY</t>
        </is>
      </c>
      <c r="E5" s="20" t="n">
        <v>4672.69</v>
      </c>
      <c r="F5" s="20" t="n">
        <v>4633.89</v>
      </c>
      <c r="G5" s="20" t="n">
        <v>4730.9</v>
      </c>
      <c r="H5" s="20" t="n">
        <v>4750.3</v>
      </c>
      <c r="I5" s="20" t="n">
        <v>10</v>
      </c>
      <c r="J5" s="20" t="n">
        <v>4674.89</v>
      </c>
      <c r="K5" s="23" t="n">
        <v>2200</v>
      </c>
      <c r="L5" s="20" t="n">
        <v>0.05</v>
      </c>
      <c r="M5" s="23" t="n">
        <v>2199.95</v>
      </c>
      <c r="N5" s="23" t="n">
        <v>0</v>
      </c>
      <c r="O5" s="20" t="n">
        <v>0</v>
      </c>
      <c r="P5" s="23" t="inlineStr">
        <is>
          <t>WIN</t>
        </is>
      </c>
      <c r="Q5" s="24" t="inlineStr"/>
    </row>
    <row r="6" ht="20" customHeight="1">
      <c r="A6" s="15" t="inlineStr">
        <is>
          <t>2026-04-29</t>
        </is>
      </c>
      <c r="B6" s="15" t="inlineStr">
        <is>
          <t>01:25:01</t>
        </is>
      </c>
      <c r="C6" s="16" t="inlineStr">
        <is>
          <t>S3 Silver Bullet</t>
        </is>
      </c>
      <c r="D6" s="17" t="inlineStr">
        <is>
          <t>BUY</t>
        </is>
      </c>
      <c r="E6" s="15" t="n">
        <v>4597.12</v>
      </c>
      <c r="F6" s="15" t="n">
        <v>4586.78</v>
      </c>
      <c r="G6" s="15" t="n">
        <v>4612.64</v>
      </c>
      <c r="H6" s="15" t="n">
        <v>4617.81</v>
      </c>
      <c r="I6" s="15" t="n">
        <v>10</v>
      </c>
      <c r="J6" s="15" t="n">
        <v>4595.28</v>
      </c>
      <c r="K6" s="18" t="n">
        <v>-1845</v>
      </c>
      <c r="L6" s="15" t="n">
        <v>0.05</v>
      </c>
      <c r="M6" s="18" t="n">
        <v>-1845.05</v>
      </c>
      <c r="N6" s="17" t="n">
        <v>0</v>
      </c>
      <c r="O6" s="15" t="n">
        <v>0</v>
      </c>
      <c r="P6" s="18" t="inlineStr">
        <is>
          <t>LOSS</t>
        </is>
      </c>
      <c r="Q6" s="19" t="inlineStr"/>
    </row>
    <row r="7" ht="20" customHeight="1">
      <c r="A7" s="20" t="inlineStr">
        <is>
          <t>2026-05-01</t>
        </is>
      </c>
      <c r="B7" s="20" t="inlineStr">
        <is>
          <t>01:25:02</t>
        </is>
      </c>
      <c r="C7" s="26" t="inlineStr">
        <is>
          <t>S3 Silver Bullet</t>
        </is>
      </c>
      <c r="D7" s="22" t="inlineStr">
        <is>
          <t>SELL</t>
        </is>
      </c>
      <c r="E7" s="20" t="n">
        <v>4620.15</v>
      </c>
      <c r="F7" s="20" t="n">
        <v>4636.4</v>
      </c>
      <c r="G7" s="20" t="n">
        <v>4595.76</v>
      </c>
      <c r="H7" s="20" t="n">
        <v>4587.63</v>
      </c>
      <c r="I7" s="20" t="n">
        <v>10</v>
      </c>
      <c r="J7" s="20" t="n">
        <v>4616.58</v>
      </c>
      <c r="K7" s="23" t="n">
        <v>3565</v>
      </c>
      <c r="L7" s="20" t="n">
        <v>0.05</v>
      </c>
      <c r="M7" s="23" t="n">
        <v>3564.95</v>
      </c>
      <c r="N7" s="23" t="n">
        <v>0</v>
      </c>
      <c r="O7" s="20" t="n">
        <v>0</v>
      </c>
      <c r="P7" s="23" t="inlineStr">
        <is>
          <t>WIN</t>
        </is>
      </c>
      <c r="Q7" s="24" t="inlineStr"/>
    </row>
    <row r="8" ht="20" customHeight="1">
      <c r="A8" s="20" t="inlineStr">
        <is>
          <t>2026-05-14</t>
        </is>
      </c>
      <c r="B8" s="20" t="inlineStr">
        <is>
          <t>15:32:53</t>
        </is>
      </c>
      <c r="C8" s="26" t="inlineStr">
        <is>
          <t>S3 Silver Bullet</t>
        </is>
      </c>
      <c r="D8" s="23" t="inlineStr">
        <is>
          <t>BUY</t>
        </is>
      </c>
      <c r="E8" s="20" t="n">
        <v>4686.24</v>
      </c>
      <c r="F8" s="20" t="n">
        <v>4676.28</v>
      </c>
      <c r="G8" s="20" t="n">
        <v>4701.16</v>
      </c>
      <c r="H8" s="20" t="n">
        <v>4706.14</v>
      </c>
      <c r="I8" s="20" t="n">
        <v>10</v>
      </c>
      <c r="J8" s="20" t="n">
        <v>4699.49</v>
      </c>
      <c r="K8" s="23" t="n">
        <v>13255</v>
      </c>
      <c r="L8" s="20" t="n">
        <v>0.05</v>
      </c>
      <c r="M8" s="23" t="n">
        <v>13254.95</v>
      </c>
      <c r="N8" s="23" t="n">
        <v>0</v>
      </c>
      <c r="O8" s="20" t="n">
        <v>0</v>
      </c>
      <c r="P8" s="23" t="inlineStr">
        <is>
          <t>WIN</t>
        </is>
      </c>
      <c r="Q8" s="24" t="inlineStr"/>
    </row>
    <row r="9" ht="20" customHeight="1">
      <c r="A9" s="20" t="inlineStr">
        <is>
          <t>2026-07-02</t>
        </is>
      </c>
      <c r="B9" s="20" t="inlineStr">
        <is>
          <t>01:22:15</t>
        </is>
      </c>
      <c r="C9" s="26" t="inlineStr">
        <is>
          <t>S3 Silver Bullet</t>
        </is>
      </c>
      <c r="D9" s="22" t="inlineStr">
        <is>
          <t>SELL</t>
        </is>
      </c>
      <c r="E9" s="20" t="n">
        <v>4066.14</v>
      </c>
      <c r="F9" s="20" t="n">
        <v>4075.32</v>
      </c>
      <c r="G9" s="20" t="n">
        <v>4052.37</v>
      </c>
      <c r="H9" s="20" t="n">
        <v>4047.78</v>
      </c>
      <c r="I9" s="20" t="n">
        <v>10</v>
      </c>
      <c r="J9" s="20" t="n">
        <v>4046.22</v>
      </c>
      <c r="K9" s="23" t="n">
        <v>19920</v>
      </c>
      <c r="L9" s="20" t="n">
        <v>0.05</v>
      </c>
      <c r="M9" s="23" t="n">
        <v>19919.95</v>
      </c>
      <c r="N9" s="23" t="n">
        <v>0</v>
      </c>
      <c r="O9" s="20" t="n">
        <v>0</v>
      </c>
      <c r="P9" s="23" t="inlineStr">
        <is>
          <t>WIN</t>
        </is>
      </c>
      <c r="Q9" s="24" t="inlineStr"/>
    </row>
    <row r="10" ht="20" customHeight="1">
      <c r="A10" s="15" t="inlineStr">
        <is>
          <t>2026-08-04</t>
        </is>
      </c>
      <c r="B10" s="15" t="inlineStr">
        <is>
          <t>22:34:23</t>
        </is>
      </c>
      <c r="C10" s="16" t="inlineStr">
        <is>
          <t>S3 Silver Bullet</t>
        </is>
      </c>
      <c r="D10" s="18" t="inlineStr">
        <is>
          <t>SELL</t>
        </is>
      </c>
      <c r="E10" s="15" t="n">
        <v>4083.34</v>
      </c>
      <c r="F10" s="15" t="n">
        <v>4100.59</v>
      </c>
      <c r="G10" s="15" t="n">
        <v>4057.46</v>
      </c>
      <c r="H10" s="15" t="n">
        <v>4048.83</v>
      </c>
      <c r="I10" s="15" t="n">
        <v>10</v>
      </c>
      <c r="J10" s="15" t="n">
        <v>4100.35</v>
      </c>
      <c r="K10" s="18" t="n">
        <v>-17010</v>
      </c>
      <c r="L10" s="15" t="n">
        <v>0.05</v>
      </c>
      <c r="M10" s="18" t="n">
        <v>-17010.05</v>
      </c>
      <c r="N10" s="17" t="n">
        <v>0</v>
      </c>
      <c r="O10" s="15" t="n">
        <v>0</v>
      </c>
      <c r="P10" s="18" t="inlineStr">
        <is>
          <t>LOSS</t>
        </is>
      </c>
      <c r="Q10" s="19" t="inlineStr"/>
    </row>
    <row r="11" ht="20" customHeight="1">
      <c r="A11" s="20" t="inlineStr">
        <is>
          <t>2026-08-12</t>
        </is>
      </c>
      <c r="B11" s="20" t="inlineStr">
        <is>
          <t>01:25:01</t>
        </is>
      </c>
      <c r="C11" s="26" t="inlineStr">
        <is>
          <t>S3 Silver Bullet</t>
        </is>
      </c>
      <c r="D11" s="23" t="inlineStr">
        <is>
          <t>BUY</t>
        </is>
      </c>
      <c r="E11" s="20" t="n">
        <v>4365.69</v>
      </c>
      <c r="F11" s="20" t="n">
        <v>4355.91</v>
      </c>
      <c r="G11" s="20" t="n">
        <v>4380.37</v>
      </c>
      <c r="H11" s="20" t="n">
        <v>4385.26</v>
      </c>
      <c r="I11" s="20" t="n">
        <v>10</v>
      </c>
      <c r="J11" s="20" t="n">
        <v>4369.47</v>
      </c>
      <c r="K11" s="23" t="n">
        <v>3775</v>
      </c>
      <c r="L11" s="20" t="n">
        <v>0.05</v>
      </c>
      <c r="M11" s="23" t="n">
        <v>3774.95</v>
      </c>
      <c r="N11" s="23" t="n">
        <v>0</v>
      </c>
      <c r="O11" s="20" t="n">
        <v>0</v>
      </c>
      <c r="P11" s="23" t="inlineStr">
        <is>
          <t>WIN</t>
        </is>
      </c>
      <c r="Q11" s="24" t="inlineStr"/>
    </row>
    <row r="12" ht="20" customHeight="1">
      <c r="A12" s="15" t="inlineStr">
        <is>
          <t>2026-08-20</t>
        </is>
      </c>
      <c r="B12" s="15" t="inlineStr">
        <is>
          <t>15:24:03</t>
        </is>
      </c>
      <c r="C12" s="16" t="inlineStr">
        <is>
          <t>S3 Silver Bullet</t>
        </is>
      </c>
      <c r="D12" s="17" t="inlineStr">
        <is>
          <t>BUY</t>
        </is>
      </c>
      <c r="E12" s="15" t="n">
        <v>4492.51</v>
      </c>
      <c r="F12" s="15" t="n">
        <v>4482.66</v>
      </c>
      <c r="G12" s="15" t="n">
        <v>4507.28</v>
      </c>
      <c r="H12" s="15" t="n">
        <v>4512.21</v>
      </c>
      <c r="I12" s="15" t="n">
        <v>10</v>
      </c>
      <c r="J12" s="15" t="n">
        <v>4483.03</v>
      </c>
      <c r="K12" s="18" t="n">
        <v>-9480</v>
      </c>
      <c r="L12" s="15" t="n">
        <v>0.05</v>
      </c>
      <c r="M12" s="18" t="n">
        <v>-9480.049999999999</v>
      </c>
      <c r="N12" s="17" t="n">
        <v>0</v>
      </c>
      <c r="O12" s="15" t="n">
        <v>0</v>
      </c>
      <c r="P12" s="18" t="inlineStr">
        <is>
          <t>LOSS</t>
        </is>
      </c>
      <c r="Q12" s="19" t="inlineStr"/>
    </row>
    <row r="13" ht="20" customHeight="1">
      <c r="A13" s="15" t="inlineStr">
        <is>
          <t>2026-09-09</t>
        </is>
      </c>
      <c r="B13" s="15" t="inlineStr">
        <is>
          <t>22:33:12</t>
        </is>
      </c>
      <c r="C13" s="16" t="inlineStr">
        <is>
          <t>S3 Silver Bullet</t>
        </is>
      </c>
      <c r="D13" s="18" t="inlineStr">
        <is>
          <t>SELL</t>
        </is>
      </c>
      <c r="E13" s="15" t="n">
        <v>4391.73</v>
      </c>
      <c r="F13" s="15" t="n">
        <v>4414.3</v>
      </c>
      <c r="G13" s="15" t="n">
        <v>4357.86</v>
      </c>
      <c r="H13" s="15" t="n">
        <v>4346.57</v>
      </c>
      <c r="I13" s="15" t="n">
        <v>10</v>
      </c>
      <c r="J13" s="15" t="n">
        <v>4413.43</v>
      </c>
      <c r="K13" s="18" t="n">
        <v>-21705</v>
      </c>
      <c r="L13" s="15" t="n">
        <v>0.05</v>
      </c>
      <c r="M13" s="18" t="n">
        <v>-21705.05</v>
      </c>
      <c r="N13" s="17" t="n">
        <v>0</v>
      </c>
      <c r="O13" s="15" t="n">
        <v>0</v>
      </c>
      <c r="P13" s="18" t="inlineStr">
        <is>
          <t>LOSS</t>
        </is>
      </c>
      <c r="Q13" s="19" t="inlineStr"/>
    </row>
    <row r="14" ht="20" customHeight="1">
      <c r="A14" s="15" t="inlineStr">
        <is>
          <t>2026-09-16</t>
        </is>
      </c>
      <c r="B14" s="15" t="inlineStr">
        <is>
          <t>23:31:33</t>
        </is>
      </c>
      <c r="C14" s="16" t="inlineStr">
        <is>
          <t>S3 Silver Bullet</t>
        </is>
      </c>
      <c r="D14" s="17" t="inlineStr">
        <is>
          <t>BUY</t>
        </is>
      </c>
      <c r="E14" s="15" t="n">
        <v>4350.74</v>
      </c>
      <c r="F14" s="15" t="n">
        <v>4334.47</v>
      </c>
      <c r="G14" s="15" t="n">
        <v>4375.15</v>
      </c>
      <c r="H14" s="15" t="n">
        <v>4383.28</v>
      </c>
      <c r="I14" s="15" t="n">
        <v>10</v>
      </c>
      <c r="J14" s="15" t="n">
        <v>4331.05</v>
      </c>
      <c r="K14" s="18" t="n">
        <v>-19690</v>
      </c>
      <c r="L14" s="15" t="n">
        <v>0.05</v>
      </c>
      <c r="M14" s="18" t="n">
        <v>-19690.05</v>
      </c>
      <c r="N14" s="17" t="n">
        <v>0</v>
      </c>
      <c r="O14" s="15" t="n">
        <v>0</v>
      </c>
      <c r="P14" s="18" t="inlineStr">
        <is>
          <t>LOSS</t>
        </is>
      </c>
      <c r="Q14" s="19" t="inlineStr"/>
    </row>
    <row r="15" ht="20" customHeight="1">
      <c r="A15" s="15" t="inlineStr">
        <is>
          <t>2026-10-01</t>
        </is>
      </c>
      <c r="B15" s="15" t="inlineStr">
        <is>
          <t>01:25:01</t>
        </is>
      </c>
      <c r="C15" s="16" t="inlineStr">
        <is>
          <t>S3 Silver Bullet</t>
        </is>
      </c>
      <c r="D15" s="18" t="inlineStr">
        <is>
          <t>SELL</t>
        </is>
      </c>
      <c r="E15" s="15" t="n">
        <v>4154.27</v>
      </c>
      <c r="F15" s="15" t="n">
        <v>4162.31</v>
      </c>
      <c r="G15" s="15" t="n">
        <v>4142.22</v>
      </c>
      <c r="H15" s="15" t="n">
        <v>4138.2</v>
      </c>
      <c r="I15" s="15" t="n">
        <v>10</v>
      </c>
      <c r="J15" s="15" t="n">
        <v>4155.29</v>
      </c>
      <c r="K15" s="18" t="n">
        <v>-1015</v>
      </c>
      <c r="L15" s="15" t="n">
        <v>0.05</v>
      </c>
      <c r="M15" s="18" t="n">
        <v>-1015.05</v>
      </c>
      <c r="N15" s="17" t="n">
        <v>0</v>
      </c>
      <c r="O15" s="15" t="n">
        <v>0</v>
      </c>
      <c r="P15" s="18" t="inlineStr">
        <is>
          <t>LOSS</t>
        </is>
      </c>
      <c r="Q15" s="19" t="inlineStr"/>
    </row>
    <row r="16" ht="20" customHeight="1">
      <c r="A16" s="15" t="inlineStr">
        <is>
          <t>2026-10-08</t>
        </is>
      </c>
      <c r="B16" s="15" t="inlineStr">
        <is>
          <t>01:25:01</t>
        </is>
      </c>
      <c r="C16" s="16" t="inlineStr">
        <is>
          <t>S3 Silver Bullet</t>
        </is>
      </c>
      <c r="D16" s="17" t="inlineStr">
        <is>
          <t>BUY</t>
        </is>
      </c>
      <c r="E16" s="15" t="n">
        <v>4102.65</v>
      </c>
      <c r="F16" s="15" t="n">
        <v>4083.42</v>
      </c>
      <c r="G16" s="15" t="n">
        <v>4131.48</v>
      </c>
      <c r="H16" s="15" t="n">
        <v>4141.09</v>
      </c>
      <c r="I16" s="15" t="n">
        <v>10</v>
      </c>
      <c r="J16" s="15" t="n">
        <v>4101.44</v>
      </c>
      <c r="K16" s="18" t="n">
        <v>-1205</v>
      </c>
      <c r="L16" s="15" t="n">
        <v>0.05</v>
      </c>
      <c r="M16" s="18" t="n">
        <v>-1205.05</v>
      </c>
      <c r="N16" s="17" t="n">
        <v>0</v>
      </c>
      <c r="O16" s="15" t="n">
        <v>0</v>
      </c>
      <c r="P16" s="18" t="inlineStr">
        <is>
          <t>LOSS</t>
        </is>
      </c>
      <c r="Q16" s="19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D9EFF"/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34" customHeight="1">
      <c r="A1" s="8" t="inlineStr">
        <is>
          <t>⚡  XAUUSD BOT — PERFORMANCE SUMMARY</t>
        </is>
      </c>
    </row>
    <row r="2" ht="26" customHeight="1">
      <c r="A2" s="9" t="inlineStr">
        <is>
          <t>Metric</t>
        </is>
      </c>
      <c r="B2" s="9" t="inlineStr">
        <is>
          <t>S1 Asian</t>
        </is>
      </c>
      <c r="C2" s="9" t="inlineStr">
        <is>
          <t>S2 Goldmine</t>
        </is>
      </c>
      <c r="D2" s="9" t="inlineStr">
        <is>
          <t>S3 Silver</t>
        </is>
      </c>
      <c r="E2" s="9" t="inlineStr">
        <is>
          <t>Combined</t>
        </is>
      </c>
      <c r="F2" s="9" t="inlineStr">
        <is>
          <t>Target</t>
        </is>
      </c>
      <c r="G2" s="9" t="inlineStr">
        <is>
          <t>Notes</t>
        </is>
      </c>
    </row>
    <row r="3" ht="22" customHeight="1">
      <c r="A3" s="10" t="inlineStr">
        <is>
          <t>Total Net P&amp;L ($)</t>
        </is>
      </c>
      <c r="B3" s="11">
        <f>SUMIFS('S1 Asian Breakout'!M:M,'S1 Asian Breakout'!P:P,"WIN")+SUMIFS('S1 Asian Breakout'!M:M,'S1 Asian Breakout'!P:P,"LOSS")</f>
        <v/>
      </c>
      <c r="C3" s="11">
        <f>SUMIFS('S2 Goldmine'!M:M,'S2 Goldmine'!P:P,"WIN")+SUMIFS('S2 Goldmine'!M:M,'S2 Goldmine'!P:P,"LOSS")</f>
        <v/>
      </c>
      <c r="D3" s="11">
        <f>SUMIFS('S3 Silver Bullet'!M:M,'S3 Silver Bullet'!P:P,"WIN")+SUMIFS('S3 Silver Bullet'!M:M,'S3 Silver Bullet'!P:P,"LOSS")</f>
        <v/>
      </c>
      <c r="E3" s="11">
        <f>B3+C3+D3</f>
        <v/>
      </c>
      <c r="F3" s="11" t="inlineStr">
        <is>
          <t>—</t>
        </is>
      </c>
      <c r="G3" s="11" t="inlineStr">
        <is>
          <t>Net of commission</t>
        </is>
      </c>
    </row>
    <row r="4" ht="22" customHeight="1">
      <c r="A4" s="12" t="inlineStr">
        <is>
          <t>Total Trades</t>
        </is>
      </c>
      <c r="B4" s="13">
        <f>COUNTA('S1 Asian Breakout'!A4:A10000)</f>
        <v/>
      </c>
      <c r="C4" s="13">
        <f>COUNTA('S2 Goldmine'!A4:A10000)</f>
        <v/>
      </c>
      <c r="D4" s="13">
        <f>COUNTA('S3 Silver Bullet'!A4:A10000)</f>
        <v/>
      </c>
      <c r="E4" s="13">
        <f>B4+C4+D4</f>
        <v/>
      </c>
      <c r="F4" s="13" t="inlineStr">
        <is>
          <t>—</t>
        </is>
      </c>
      <c r="G4" s="13" t="inlineStr"/>
    </row>
    <row r="5" ht="22" customHeight="1">
      <c r="A5" s="10" t="inlineStr">
        <is>
          <t>Winning Trades</t>
        </is>
      </c>
      <c r="B5" s="11">
        <f>COUNTIF('S1 Asian Breakout'!P:P,"WIN")</f>
        <v/>
      </c>
      <c r="C5" s="11">
        <f>COUNTIF('S2 Goldmine'!P:P,"WIN")</f>
        <v/>
      </c>
      <c r="D5" s="11">
        <f>COUNTIF('S3 Silver Bullet'!P:P,"WIN")</f>
        <v/>
      </c>
      <c r="E5" s="11">
        <f>B5+C5+D5</f>
        <v/>
      </c>
      <c r="F5" s="11" t="inlineStr">
        <is>
          <t>—</t>
        </is>
      </c>
      <c r="G5" s="11" t="inlineStr"/>
    </row>
    <row r="6" ht="22" customHeight="1">
      <c r="A6" s="12" t="inlineStr">
        <is>
          <t>Losing Trades</t>
        </is>
      </c>
      <c r="B6" s="13">
        <f>COUNTIF('S1 Asian Breakout'!P:P,"LOSS")</f>
        <v/>
      </c>
      <c r="C6" s="13">
        <f>COUNTIF('S2 Goldmine'!P:P,"LOSS")</f>
        <v/>
      </c>
      <c r="D6" s="13">
        <f>COUNTIF('S3 Silver Bullet'!P:P,"LOSS")</f>
        <v/>
      </c>
      <c r="E6" s="13">
        <f>B6+C6+D6</f>
        <v/>
      </c>
      <c r="F6" s="13" t="inlineStr">
        <is>
          <t>—</t>
        </is>
      </c>
      <c r="G6" s="13" t="inlineStr"/>
    </row>
    <row r="7" ht="22" customHeight="1">
      <c r="A7" s="10" t="inlineStr">
        <is>
          <t>Hit Ratio</t>
        </is>
      </c>
      <c r="B7" s="14">
        <f>IFERROR(B5/B4,0)</f>
        <v/>
      </c>
      <c r="C7" s="14">
        <f>IFERROR(C5/C4,0)</f>
        <v/>
      </c>
      <c r="D7" s="14">
        <f>IFERROR(D5/D4,0)</f>
        <v/>
      </c>
      <c r="E7" s="14">
        <f>IFERROR(E5/E4,0)</f>
        <v/>
      </c>
      <c r="F7" s="11" t="inlineStr">
        <is>
          <t>S1:55% S2:82% S3:78%</t>
        </is>
      </c>
      <c r="G7" s="11" t="inlineStr">
        <is>
          <t>Per research</t>
        </is>
      </c>
    </row>
    <row r="8" ht="22" customHeight="1">
      <c r="A8" s="12" t="inlineStr">
        <is>
          <t>Avg Win ($)</t>
        </is>
      </c>
      <c r="B8" s="13">
        <f>IFERROR(AVERAGEIF('S1 Asian Breakout'!P:P,"WIN",'S1 Asian Breakout'!M:M),0)</f>
        <v/>
      </c>
      <c r="C8" s="13">
        <f>IFERROR(AVERAGEIF('S2 Goldmine'!P:P,"WIN",'S2 Goldmine'!M:M),0)</f>
        <v/>
      </c>
      <c r="D8" s="13">
        <f>IFERROR(AVERAGEIF('S3 Silver Bullet'!P:P,"WIN",'S3 Silver Bullet'!M:M),0)</f>
        <v/>
      </c>
      <c r="E8" s="13">
        <f>IFERROR((B3+C3+D3)/(B5+C5+D5),0)</f>
        <v/>
      </c>
      <c r="F8" s="13" t="inlineStr">
        <is>
          <t>—</t>
        </is>
      </c>
      <c r="G8" s="13" t="inlineStr"/>
    </row>
    <row r="9" ht="22" customHeight="1">
      <c r="A9" s="10" t="inlineStr">
        <is>
          <t>Avg Loss ($)</t>
        </is>
      </c>
      <c r="B9" s="11">
        <f>IFERROR(AVERAGEIF('S1 Asian Breakout'!P:P,"LOSS",'S1 Asian Breakout'!M:M),0)</f>
        <v/>
      </c>
      <c r="C9" s="11">
        <f>IFERROR(AVERAGEIF('S2 Goldmine'!P:P,"LOSS",'S2 Goldmine'!M:M),0)</f>
        <v/>
      </c>
      <c r="D9" s="11">
        <f>IFERROR(AVERAGEIF('S3 Silver Bullet'!P:P,"LOSS",'S3 Silver Bullet'!M:M),0)</f>
        <v/>
      </c>
      <c r="E9" s="11">
        <f>IFERROR((B3+C3+D3)/(B6+C6+D6),0)</f>
        <v/>
      </c>
      <c r="F9" s="11" t="inlineStr">
        <is>
          <t>—</t>
        </is>
      </c>
      <c r="G9" s="11" t="inlineStr"/>
    </row>
    <row r="10" ht="22" customHeight="1">
      <c r="A10" s="12" t="inlineStr">
        <is>
          <t>Gain:Loss Ratio</t>
        </is>
      </c>
      <c r="B10" s="13">
        <f>IFERROR(ABS(B7/B8),0)</f>
        <v/>
      </c>
      <c r="C10" s="13">
        <f>IFERROR(ABS(C7/C8),0)</f>
        <v/>
      </c>
      <c r="D10" s="13">
        <f>IFERROR(ABS(D7/D8),0)</f>
        <v/>
      </c>
      <c r="E10" s="13">
        <f>IFERROR(ABS(E7/E8),0)</f>
        <v/>
      </c>
      <c r="F10" s="13" t="inlineStr">
        <is>
          <t>&gt;1.5x</t>
        </is>
      </c>
      <c r="G10" s="13" t="inlineStr">
        <is>
          <t>Target minimum</t>
        </is>
      </c>
    </row>
    <row r="11" ht="22" customHeight="1">
      <c r="A11" s="10" t="inlineStr">
        <is>
          <t>Max Win ($)</t>
        </is>
      </c>
      <c r="B11" s="11">
        <f>IFERROR(MAXIFS('S1 Asian Breakout'!M:M,'S1 Asian Breakout'!P:P,"WIN"),0)</f>
        <v/>
      </c>
      <c r="C11" s="11">
        <f>IFERROR(MAXIFS('S2 Goldmine'!M:M,'S2 Goldmine'!P:P,"WIN"),0)</f>
        <v/>
      </c>
      <c r="D11" s="11">
        <f>IFERROR(MAXIFS('S3 Silver Bullet'!M:M,'S3 Silver Bullet'!P:P,"WIN"),0)</f>
        <v/>
      </c>
      <c r="E11" s="11">
        <f>MAX(B10,C10,D10)</f>
        <v/>
      </c>
      <c r="F11" s="11" t="inlineStr">
        <is>
          <t>—</t>
        </is>
      </c>
      <c r="G11" s="11" t="inlineStr"/>
    </row>
    <row r="12" ht="22" customHeight="1">
      <c r="A12" s="12" t="inlineStr">
        <is>
          <t>Max Loss ($)</t>
        </is>
      </c>
      <c r="B12" s="13">
        <f>IFERROR(MINIFS('S1 Asian Breakout'!M:M,'S1 Asian Breakout'!P:P,"LOSS"),0)</f>
        <v/>
      </c>
      <c r="C12" s="13">
        <f>IFERROR(MINIFS('S2 Goldmine'!M:M,'S2 Goldmine'!P:P,"LOSS"),0)</f>
        <v/>
      </c>
      <c r="D12" s="13">
        <f>IFERROR(MINIFS('S3 Silver Bullet'!M:M,'S3 Silver Bullet'!P:P,"LOSS"),0)</f>
        <v/>
      </c>
      <c r="E12" s="13">
        <f>MIN(B11,C11,D11)</f>
        <v/>
      </c>
      <c r="F12" s="13" t="inlineStr">
        <is>
          <t>—</t>
        </is>
      </c>
      <c r="G12" s="1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2026-03-24T17:45:08Z</dcterms:created>
  <dcterms:modified xsi:type="dcterms:W3CDTF">2026-10-20T13:39:54Z</dcterms:modified>
</cp:coreProperties>
</file>